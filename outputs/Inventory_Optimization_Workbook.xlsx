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Replenishment Plan" sheetId="3" state="visible" r:id="rId3"/>
    <sheet xmlns:r="http://schemas.openxmlformats.org/officeDocument/2006/relationships" name="ABC Analysis" sheetId="4" state="visible" r:id="rId4"/>
    <sheet xmlns:r="http://schemas.openxmlformats.org/officeDocument/2006/relationships" name="Supplier Scorecard" sheetId="5" state="visible" r:id="rId5"/>
    <sheet xmlns:r="http://schemas.openxmlformats.org/officeDocument/2006/relationships" name="Stockout Impact" sheetId="6" state="visible" r:id="rId6"/>
    <sheet xmlns:r="http://schemas.openxmlformats.org/officeDocument/2006/relationships" name="Demand Forecast" sheetId="7" state="visible" r:id="rId7"/>
    <sheet xmlns:r="http://schemas.openxmlformats.org/officeDocument/2006/relationships" name="Policy Backtest" sheetId="8" state="visible" r:id="rId8"/>
    <sheet xmlns:r="http://schemas.openxmlformats.org/officeDocument/2006/relationships" name="Data Cleaning Log" sheetId="9" state="visible" r:id="rId9"/>
  </sheets>
  <definedNames>
    <definedName name="_xlnm._FilterDatabase" localSheetId="2" hidden="1">'Replenishment Plan'!$A$4:$Z$154</definedName>
    <definedName name="_xlnm._FilterDatabase" localSheetId="5" hidden="1">'Stockout Impact'!$A$4:$L$154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$#,##0.00"/>
    <numFmt numFmtId="165" formatCode="0.0%;(0.0%);&quot;-&quot;"/>
    <numFmt numFmtId="166" formatCode="#,##0;(#,##0);&quot;-&quot;"/>
    <numFmt numFmtId="167" formatCode="0.0"/>
    <numFmt numFmtId="168" formatCode="$#,##0;($#,##0);&quot;-&quot;"/>
    <numFmt numFmtId="169" formatCode="0.0&quot;x&quot;"/>
    <numFmt numFmtId="170" formatCode="#,##0.0"/>
  </numFmts>
  <fonts count="9">
    <font>
      <name val="Calibri"/>
      <family val="2"/>
      <color theme="1"/>
      <sz val="11"/>
      <scheme val="minor"/>
    </font>
    <font>
      <name val="Arial"/>
      <b val="1"/>
      <color rgb="001F3A5F"/>
      <sz val="16"/>
    </font>
    <font>
      <name val="Arial"/>
      <i val="1"/>
      <color rgb="005F6B7A"/>
      <sz val="10"/>
    </font>
    <font>
      <name val="Arial"/>
      <b val="1"/>
      <color rgb="00FFFFFF"/>
      <sz val="10"/>
    </font>
    <font>
      <name val="Arial"/>
      <sz val="10"/>
    </font>
    <font>
      <name val="Arial"/>
      <color rgb="000000FF"/>
      <sz val="10"/>
    </font>
    <font>
      <name val="Arial"/>
      <b val="1"/>
      <sz val="10"/>
    </font>
    <font>
      <name val="Arial"/>
      <b val="1"/>
      <color rgb="00FFFFFF"/>
    </font>
    <font>
      <name val="Arial"/>
      <color rgb="00008000"/>
      <sz val="10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DEE5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7" fillId="2" borderId="0" pivotButton="0" quotePrefix="0" xfId="0"/>
    <xf numFmtId="0" fontId="0" fillId="2" borderId="0" pivotButton="0" quotePrefix="0" xfId="0"/>
    <xf numFmtId="0" fontId="4" fillId="0" borderId="1" pivotButton="0" quotePrefix="0" xfId="0"/>
    <xf numFmtId="168" fontId="5" fillId="0" borderId="1" pivotButton="0" quotePrefix="0" xfId="0"/>
    <xf numFmtId="0" fontId="2" fillId="0" borderId="1" pivotButton="0" quotePrefix="0" xfId="0"/>
    <xf numFmtId="165" fontId="5" fillId="0" borderId="1" pivotButton="0" quotePrefix="0" xfId="0"/>
    <xf numFmtId="169" fontId="5" fillId="0" borderId="1" pivotButton="0" quotePrefix="0" xfId="0"/>
    <xf numFmtId="170" fontId="5" fillId="0" borderId="1" pivotButton="0" quotePrefix="0" xfId="0"/>
    <xf numFmtId="165" fontId="8" fillId="0" borderId="1" pivotButton="0" quotePrefix="0" xfId="0"/>
    <xf numFmtId="165" fontId="8" fillId="0" borderId="1" applyAlignment="1" pivotButton="0" quotePrefix="0" xfId="0">
      <alignment horizontal="left"/>
    </xf>
    <xf numFmtId="168" fontId="8" fillId="0" borderId="1" pivotButton="0" quotePrefix="0" xfId="0"/>
    <xf numFmtId="166" fontId="8" fillId="0" borderId="1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0" pivotButton="0" quotePrefix="0" xfId="0"/>
    <xf numFmtId="164" fontId="5" fillId="3" borderId="0" pivotButton="0" quotePrefix="0" xfId="0"/>
    <xf numFmtId="165" fontId="5" fillId="3" borderId="0" pivotButton="0" quotePrefix="0" xfId="0"/>
    <xf numFmtId="166" fontId="5" fillId="3" borderId="0" pivotButton="0" quotePrefix="0" xfId="0"/>
    <xf numFmtId="0" fontId="6" fillId="0" borderId="0" pivotButton="0" quotePrefix="0" xfId="0"/>
    <xf numFmtId="165" fontId="4" fillId="0" borderId="0" pivotButton="0" quotePrefix="0" xfId="0"/>
    <xf numFmtId="164" fontId="5" fillId="0" borderId="1" pivotButton="0" quotePrefix="0" xfId="0"/>
    <xf numFmtId="2" fontId="5" fillId="0" borderId="1" pivotButton="0" quotePrefix="0" xfId="0"/>
    <xf numFmtId="167" fontId="5" fillId="0" borderId="1" pivotButton="0" quotePrefix="0" xfId="0"/>
    <xf numFmtId="166" fontId="5" fillId="0" borderId="1" pivotButton="0" quotePrefix="0" xfId="0"/>
    <xf numFmtId="165" fontId="4" fillId="0" borderId="1" pivotButton="0" quotePrefix="0" xfId="0"/>
    <xf numFmtId="2" fontId="4" fillId="0" borderId="1" pivotButton="0" quotePrefix="0" xfId="0"/>
    <xf numFmtId="166" fontId="4" fillId="0" borderId="1" pivotButton="0" quotePrefix="0" xfId="0"/>
    <xf numFmtId="168" fontId="4" fillId="0" borderId="1" pivotButton="0" quotePrefix="0" xfId="0"/>
    <xf numFmtId="0" fontId="3" fillId="2" borderId="0" pivotButton="0" quotePrefix="0" xfId="0"/>
    <xf numFmtId="0" fontId="5" fillId="0" borderId="1" pivotButton="0" quotePrefix="0" xfId="0"/>
    <xf numFmtId="167" fontId="4" fillId="0" borderId="1" pivotButton="0" quotePrefix="0" xfId="0"/>
    <xf numFmtId="166" fontId="6" fillId="0" borderId="0" pivotButton="0" quotePrefix="0" xfId="0"/>
    <xf numFmtId="165" fontId="6" fillId="0" borderId="1" pivotButton="0" quotePrefix="0" xfId="0"/>
  </cellXfs>
  <cellStyles count="1">
    <cellStyle name="Normal" xfId="0" builtinId="0" hidden="0"/>
  </cellStyles>
  <dxfs count="4">
    <dxf>
      <font>
        <name val="Arial"/>
        <b val="1"/>
        <color rgb="009B1C2E"/>
      </font>
      <fill>
        <patternFill patternType="solid">
          <fgColor rgb="00F8D7DA"/>
        </patternFill>
      </fill>
    </dxf>
    <dxf>
      <font>
        <name val="Arial"/>
        <b val="1"/>
        <color rgb="008A5A00"/>
      </font>
      <fill>
        <patternFill patternType="solid">
          <fgColor rgb="00FFF3CD"/>
        </patternFill>
      </fill>
    </dxf>
    <dxf>
      <fill>
        <patternFill patternType="solid">
          <fgColor rgb="00F8D7DA"/>
        </patternFill>
      </fill>
    </dxf>
    <dxf>
      <fill>
        <patternFill patternType="solid">
          <fgColor rgb="00FFF3C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Model</author>
  </authors>
  <commentList>
    <comment ref="H4" authorId="0" shapeId="0">
      <text>
        <t>Expected daily demand: trailing 8-week unconstrained demand x last year's seasonal ratio.</t>
      </text>
    </comment>
    <comment ref="J4" authorId="0" shapeId="0">
      <text>
        <t>Supplier's ACTUAL average lead time from received POs, not the promised one.</t>
      </text>
    </comment>
    <comment ref="Q4" authorId="0" shapeId="0">
      <text>
        <t>Safety stock = Z x sqrt(LT x demand_std^2 + demand^2 x LT_std^2). Covers both demand and supplier lead-time uncertainty.</t>
      </text>
    </comment>
    <comment ref="S4" authorId="0" shapeId="0">
      <text>
        <t>Economic order quantity = sqrt(2 x annual demand x order cost / annual holding cost per unit).</t>
      </text>
    </comment>
    <comment ref="W4" authorId="0" shapeId="0">
      <text>
        <t>Units above the larger of (reorder point + order qty) and the excess-days threshold.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70" customWidth="1" min="3" max="3"/>
  </cols>
  <sheetData>
    <row r="1">
      <c r="A1" s="1" t="inlineStr">
        <is>
          <t>NorthStar Supply Co. — Inventory &amp; Supply Chain Summary</t>
        </is>
      </c>
    </row>
    <row r="2">
      <c r="A2" s="2" t="inlineStr">
        <is>
          <t>2024-2025, 150 SKUs, 10 suppliers. Synthetic data generated for a portfolio project.</t>
        </is>
      </c>
    </row>
    <row r="5">
      <c r="A5" s="3" t="inlineStr">
        <is>
          <t>CURRENT PERFORMANCE (2024-2025)</t>
        </is>
      </c>
      <c r="B5" s="4" t="n"/>
      <c r="C5" s="4" t="n"/>
    </row>
    <row r="6">
      <c r="A6" s="5" t="inlineStr">
        <is>
          <t>Total revenue</t>
        </is>
      </c>
      <c r="B6" s="6" t="n">
        <v>21128847</v>
      </c>
      <c r="C6" s="7" t="inlineStr">
        <is>
          <t>Source: fact_sales</t>
        </is>
      </c>
    </row>
    <row r="7">
      <c r="A7" s="5" t="inlineStr">
        <is>
          <t>Gross margin</t>
        </is>
      </c>
      <c r="B7" s="8" t="n">
        <v>0.38</v>
      </c>
      <c r="C7" s="7" t="inlineStr"/>
    </row>
    <row r="8">
      <c r="A8" s="5" t="inlineStr">
        <is>
          <t>Revenue growth 2025 vs 2024</t>
        </is>
      </c>
      <c r="B8" s="8" t="n">
        <v>-0.0201</v>
      </c>
      <c r="C8" s="7" t="inlineStr">
        <is>
          <t>Demand grew ~2% but sales fell: stockouts rose in 2025</t>
        </is>
      </c>
    </row>
    <row r="9">
      <c r="A9" s="5" t="inlineStr">
        <is>
          <t>Inventory turnover (annual)</t>
        </is>
      </c>
      <c r="B9" s="9" t="n">
        <v>11.59</v>
      </c>
      <c r="C9" s="7" t="inlineStr">
        <is>
          <t>Annual COGS / average inventory value</t>
        </is>
      </c>
    </row>
    <row r="10">
      <c r="A10" s="5" t="inlineStr">
        <is>
          <t>Days of inventory</t>
        </is>
      </c>
      <c r="B10" s="10" t="n">
        <v>31.5</v>
      </c>
      <c r="C10" s="7" t="inlineStr"/>
    </row>
    <row r="11">
      <c r="A11" s="5" t="inlineStr">
        <is>
          <t>Stockout rate (% of SKU-days)</t>
        </is>
      </c>
      <c r="B11" s="8" t="n">
        <v>0.0563</v>
      </c>
      <c r="C11" s="7" t="inlineStr"/>
    </row>
    <row r="12">
      <c r="A12" s="5" t="inlineStr">
        <is>
          <t>Fill rate (% of demand met)</t>
        </is>
      </c>
      <c r="B12" s="8" t="n">
        <v>0.9429</v>
      </c>
      <c r="C12" s="7" t="inlineStr"/>
    </row>
    <row r="13">
      <c r="A13" s="5" t="inlineStr">
        <is>
          <t>Est. revenue lost to stockouts</t>
        </is>
      </c>
      <c r="B13" s="6" t="n">
        <v>2337184</v>
      </c>
      <c r="C13" s="7" t="inlineStr">
        <is>
          <t>Lost units x list price</t>
        </is>
      </c>
    </row>
    <row r="14">
      <c r="A14" s="5" t="inlineStr">
        <is>
          <t>Supplier OTIF</t>
        </is>
      </c>
      <c r="B14" s="8" t="n">
        <v>0.5392</v>
      </c>
      <c r="C14" s="7" t="inlineStr">
        <is>
          <t>On-time AND in-full</t>
        </is>
      </c>
    </row>
    <row r="16">
      <c r="A16" s="3" t="inlineStr">
        <is>
          <t>RECOMMENDED POLICY (2025 back-test)</t>
        </is>
      </c>
      <c r="B16" s="4" t="n"/>
      <c r="C16" s="4" t="n"/>
    </row>
    <row r="17">
      <c r="A17" s="5" t="inlineStr">
        <is>
          <t>Stockout rate: optimized (current at right)</t>
        </is>
      </c>
      <c r="B17" s="11">
        <f>'Policy Backtest'!C5</f>
        <v/>
      </c>
      <c r="C17" s="12">
        <f>'Policy Backtest'!B5</f>
        <v/>
      </c>
    </row>
    <row r="18">
      <c r="A18" s="5" t="inlineStr">
        <is>
          <t>Revenue recovered vs current policy</t>
        </is>
      </c>
      <c r="B18" s="13">
        <f>-'Policy Backtest'!D8</f>
        <v/>
      </c>
      <c r="C18" s="7" t="inlineStr">
        <is>
          <t>Lost revenue avoided in 2025</t>
        </is>
      </c>
    </row>
    <row r="19">
      <c r="A19" s="5" t="inlineStr">
        <is>
          <t>Change in avg inventory value</t>
        </is>
      </c>
      <c r="B19" s="11">
        <f>'Policy Backtest'!E10</f>
        <v/>
      </c>
      <c r="C19" s="7" t="inlineStr">
        <is>
          <t>Fewer stockouts AND less capital tied up</t>
        </is>
      </c>
    </row>
    <row r="20">
      <c r="A20" s="5" t="inlineStr">
        <is>
          <t>Purchase orders: change</t>
        </is>
      </c>
      <c r="B20" s="11">
        <f>'Policy Backtest'!E12</f>
        <v/>
      </c>
      <c r="C20" s="7" t="inlineStr"/>
    </row>
    <row r="22">
      <c r="A22" s="3" t="inlineStr">
        <is>
          <t>ACTION LIST TODAY</t>
        </is>
      </c>
      <c r="B22" s="4" t="n"/>
      <c r="C22" s="4" t="n"/>
    </row>
    <row r="23">
      <c r="A23" s="5" t="inlineStr">
        <is>
          <t>SKUs to reorder now</t>
        </is>
      </c>
      <c r="B23" s="14">
        <f>COUNTIF('Replenishment Plan'!Y5:Y154,"REORDER NOW")</f>
        <v/>
      </c>
      <c r="C23" s="7" t="inlineStr">
        <is>
          <t>See Replenishment Plan, filter column Y</t>
        </is>
      </c>
    </row>
    <row r="24">
      <c r="A24" s="5" t="inlineStr">
        <is>
          <t>Suggested order value ($)</t>
        </is>
      </c>
      <c r="B24" s="13">
        <f>SUMPRODUCT('Replenishment Plan'!Z5:Z154,'Replenishment Plan'!G5:G154)</f>
        <v/>
      </c>
      <c r="C24" s="7" t="inlineStr"/>
    </row>
    <row r="25">
      <c r="A25" s="5" t="inlineStr">
        <is>
          <t>SKUs flagged as excess</t>
        </is>
      </c>
      <c r="B25" s="14">
        <f>COUNTIF('Replenishment Plan'!Y5:Y154,"EXCESS*")</f>
        <v/>
      </c>
      <c r="C25" s="7" t="inlineStr"/>
    </row>
    <row r="26">
      <c r="A26" s="5" t="inlineStr">
        <is>
          <t>Excess inventory value ($)</t>
        </is>
      </c>
      <c r="B26" s="13">
        <f>SUM('Replenishment Plan'!X5:X154)</f>
        <v/>
      </c>
      <c r="C26" s="7" t="inlineStr">
        <is>
          <t>Candidates for promotion, transfer or return-to-vendor</t>
        </is>
      </c>
    </row>
    <row r="27">
      <c r="A27" s="5" t="inlineStr">
        <is>
          <t>Critical suppliers (OTIF &lt; 45%)</t>
        </is>
      </c>
      <c r="B27" s="14">
        <f>COUNTIF('Supplier Scorecard'!N5:N14,"Critical")</f>
        <v/>
      </c>
      <c r="C27" s="7" t="inlineStr"/>
    </row>
    <row r="29">
      <c r="A29" s="2" t="inlineStr">
        <is>
          <t>Colour key: blue = data from the pipeline, black = formula, green = link to another sheet.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90" customWidth="1" min="3" max="3"/>
  </cols>
  <sheetData>
    <row r="1">
      <c r="A1" s="1" t="inlineStr">
        <is>
          <t>Assumptions</t>
        </is>
      </c>
    </row>
    <row r="2">
      <c r="A2" s="2" t="inlineStr">
        <is>
          <t>Blue text on yellow = inputs you can change. Every formula in the workbook reads from here.</t>
        </is>
      </c>
    </row>
    <row r="4" ht="32" customHeight="1">
      <c r="A4" s="15" t="inlineStr">
        <is>
          <t>Assumption</t>
        </is>
      </c>
      <c r="B4" s="15" t="inlineStr">
        <is>
          <t>Value</t>
        </is>
      </c>
      <c r="C4" s="15" t="inlineStr">
        <is>
          <t>Note</t>
        </is>
      </c>
    </row>
    <row r="5">
      <c r="A5" s="16" t="inlineStr">
        <is>
          <t>Order cost per PO ($)</t>
        </is>
      </c>
      <c r="B5" s="17" t="n">
        <v>75</v>
      </c>
      <c r="C5" s="2" t="inlineStr">
        <is>
          <t>Admin, receiving and fixed freight per purchase order. Industry rule of thumb; replace with your actual figure.</t>
        </is>
      </c>
    </row>
    <row r="6">
      <c r="A6" s="16" t="inlineStr">
        <is>
          <t>Annual holding cost (% of unit cost)</t>
        </is>
      </c>
      <c r="B6" s="18" t="n">
        <v>0.25</v>
      </c>
      <c r="C6" s="2" t="inlineStr">
        <is>
          <t>Capital, storage, insurance, obsolescence. 20-30% is the common range.</t>
        </is>
      </c>
    </row>
    <row r="7">
      <c r="A7" s="16" t="inlineStr">
        <is>
          <t>Service level: A items</t>
        </is>
      </c>
      <c r="B7" s="18" t="n">
        <v>0.98</v>
      </c>
      <c r="C7" s="2" t="inlineStr">
        <is>
          <t>Probability of not stocking out during a replenishment cycle.</t>
        </is>
      </c>
    </row>
    <row r="8">
      <c r="A8" s="16" t="inlineStr">
        <is>
          <t>Service level: B items</t>
        </is>
      </c>
      <c r="B8" s="18" t="n">
        <v>0.95</v>
      </c>
      <c r="C8" s="2" t="inlineStr"/>
    </row>
    <row r="9">
      <c r="A9" s="16" t="inlineStr">
        <is>
          <t>Service level: C items</t>
        </is>
      </c>
      <c r="B9" s="18" t="n">
        <v>0.9</v>
      </c>
      <c r="C9" s="2" t="inlineStr"/>
    </row>
    <row r="10">
      <c r="A10" s="16" t="inlineStr">
        <is>
          <t>Excess threshold (days of cover)</t>
        </is>
      </c>
      <c r="B10" s="19" t="n">
        <v>120</v>
      </c>
      <c r="C10" s="2" t="inlineStr">
        <is>
          <t>On-hand above this many days of forecast demand is flagged as excess.</t>
        </is>
      </c>
    </row>
    <row r="12">
      <c r="A12" s="20" t="inlineStr">
        <is>
          <t>Class</t>
        </is>
      </c>
      <c r="B12" s="20" t="inlineStr">
        <is>
          <t>Service level</t>
        </is>
      </c>
      <c r="C12" s="2" t="inlineStr">
        <is>
          <t>Lookup table used by the Replenishment Plan (do not edit; change B7:B9 instead).</t>
        </is>
      </c>
    </row>
    <row r="13">
      <c r="A13" s="16" t="inlineStr">
        <is>
          <t>A</t>
        </is>
      </c>
      <c r="B13" s="21">
        <f>B7</f>
        <v/>
      </c>
    </row>
    <row r="14">
      <c r="A14" s="16" t="inlineStr">
        <is>
          <t>B</t>
        </is>
      </c>
      <c r="B14" s="21">
        <f>B8</f>
        <v/>
      </c>
    </row>
    <row r="15">
      <c r="A15" s="16" t="inlineStr">
        <is>
          <t>C</t>
        </is>
      </c>
      <c r="B15" s="21">
        <f>B9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5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9" customWidth="1" min="4" max="4"/>
    <col width="6" customWidth="1" min="5" max="5"/>
    <col width="6" customWidth="1" min="6" max="6"/>
    <col width="10" customWidth="1" min="7" max="7"/>
    <col width="11" customWidth="1" min="8" max="8"/>
    <col width="10" customWidth="1" min="9" max="9"/>
    <col width="10" customWidth="1" min="10" max="10"/>
    <col width="10" customWidth="1" min="11" max="11"/>
    <col width="8" customWidth="1" min="12" max="12"/>
    <col width="9" customWidth="1" min="13" max="13"/>
    <col width="9" customWidth="1" min="14" max="14"/>
    <col width="10" customWidth="1" min="15" max="15"/>
    <col width="8" customWidth="1" min="16" max="16"/>
    <col width="10" customWidth="1" min="17" max="17"/>
    <col width="10" customWidth="1" min="18" max="18"/>
    <col width="9" customWidth="1" min="19" max="19"/>
    <col width="9" customWidth="1" min="20" max="20"/>
    <col width="11" customWidth="1" min="21" max="21"/>
    <col width="9" customWidth="1" min="22" max="22"/>
    <col width="10" customWidth="1" min="23" max="23"/>
    <col width="12" customWidth="1" min="24" max="24"/>
    <col width="30" customWidth="1" min="25" max="25"/>
    <col width="11" customWidth="1" min="26" max="26"/>
  </cols>
  <sheetData>
    <row r="1">
      <c r="A1" s="1" t="inlineStr">
        <is>
          <t>Replenishment Plan (as of 2026-01-01)</t>
        </is>
      </c>
    </row>
    <row r="2">
      <c r="A2" s="2" t="inlineStr">
        <is>
          <t>Blue = data inputs from the Python pipeline. Black = live formulas. Change Assumptions to re-plan.</t>
        </is>
      </c>
    </row>
    <row r="4" ht="32" customHeight="1">
      <c r="A4" s="15" t="inlineStr">
        <is>
          <t>Product ID</t>
        </is>
      </c>
      <c r="B4" s="15" t="inlineStr">
        <is>
          <t>Product</t>
        </is>
      </c>
      <c r="C4" s="15" t="inlineStr">
        <is>
          <t>Category</t>
        </is>
      </c>
      <c r="D4" s="15" t="inlineStr">
        <is>
          <t>Supplier</t>
        </is>
      </c>
      <c r="E4" s="15" t="inlineStr">
        <is>
          <t>ABC</t>
        </is>
      </c>
      <c r="F4" s="15" t="inlineStr">
        <is>
          <t>XYZ</t>
        </is>
      </c>
      <c r="G4" s="15" t="inlineStr">
        <is>
          <t>Unit cost ($)</t>
        </is>
      </c>
      <c r="H4" s="15" t="inlineStr">
        <is>
          <t>Daily demand (units)</t>
        </is>
      </c>
      <c r="I4" s="15" t="inlineStr">
        <is>
          <t>Demand std dev</t>
        </is>
      </c>
      <c r="J4" s="15" t="inlineStr">
        <is>
          <t>Lead time (days)</t>
        </is>
      </c>
      <c r="K4" s="15" t="inlineStr">
        <is>
          <t>Lead time std dev</t>
        </is>
      </c>
      <c r="L4" s="15" t="inlineStr">
        <is>
          <t>MOQ</t>
        </is>
      </c>
      <c r="M4" s="15" t="inlineStr">
        <is>
          <t>On hand</t>
        </is>
      </c>
      <c r="N4" s="15" t="inlineStr">
        <is>
          <t>On order</t>
        </is>
      </c>
      <c r="O4" s="15" t="inlineStr">
        <is>
          <t>Service level</t>
        </is>
      </c>
      <c r="P4" s="15" t="inlineStr">
        <is>
          <t>Z score</t>
        </is>
      </c>
      <c r="Q4" s="15" t="inlineStr">
        <is>
          <t>Safety stock</t>
        </is>
      </c>
      <c r="R4" s="15" t="inlineStr">
        <is>
          <t>Reorder point</t>
        </is>
      </c>
      <c r="S4" s="15" t="inlineStr">
        <is>
          <t>EOQ</t>
        </is>
      </c>
      <c r="T4" s="15" t="inlineStr">
        <is>
          <t>Order qty</t>
        </is>
      </c>
      <c r="U4" s="15" t="inlineStr">
        <is>
          <t>Inventory position</t>
        </is>
      </c>
      <c r="V4" s="15" t="inlineStr">
        <is>
          <t>Days of cover</t>
        </is>
      </c>
      <c r="W4" s="15" t="inlineStr">
        <is>
          <t>Excess units</t>
        </is>
      </c>
      <c r="X4" s="15" t="inlineStr">
        <is>
          <t>Excess value ($)</t>
        </is>
      </c>
      <c r="Y4" s="15" t="inlineStr">
        <is>
          <t>Action</t>
        </is>
      </c>
      <c r="Z4" s="15" t="inlineStr">
        <is>
          <t>Suggested order</t>
        </is>
      </c>
    </row>
    <row r="5">
      <c r="A5" s="5" t="inlineStr">
        <is>
          <t>P0001</t>
        </is>
      </c>
      <c r="B5" s="5" t="inlineStr">
        <is>
          <t>Electronics Item 001</t>
        </is>
      </c>
      <c r="C5" s="5" t="inlineStr">
        <is>
          <t>Electronics</t>
        </is>
      </c>
      <c r="D5" s="5" t="inlineStr">
        <is>
          <t>S01</t>
        </is>
      </c>
      <c r="E5" s="5" t="inlineStr">
        <is>
          <t>A</t>
        </is>
      </c>
      <c r="F5" s="5" t="inlineStr">
        <is>
          <t>X</t>
        </is>
      </c>
      <c r="G5" s="22" t="n">
        <v>146.97</v>
      </c>
      <c r="H5" s="23" t="n">
        <v>12.439</v>
      </c>
      <c r="I5" s="23" t="n">
        <v>4.895</v>
      </c>
      <c r="J5" s="24" t="n">
        <v>7.124</v>
      </c>
      <c r="K5" s="24" t="n">
        <v>1.029</v>
      </c>
      <c r="L5" s="25" t="n">
        <v>24</v>
      </c>
      <c r="M5" s="25" t="n">
        <v>651</v>
      </c>
      <c r="N5" s="25" t="n">
        <v>0</v>
      </c>
      <c r="O5" s="26">
        <f>INDEX(Assumptions!$B$13:$B$15,MATCH(E5,Assumptions!$A$13:$A$15,0))</f>
        <v/>
      </c>
      <c r="P5" s="27">
        <f>NORMSINV(O5)</f>
        <v/>
      </c>
      <c r="Q5" s="28">
        <f>ROUNDUP(P5*SQRT(J5*I5^2+H5^2*K5^2),0)</f>
        <v/>
      </c>
      <c r="R5" s="28">
        <f>ROUNDUP(H5*J5+Q5,0)</f>
        <v/>
      </c>
      <c r="S5" s="28">
        <f>IF(H5&gt;0,ROUNDUP(SQRT(2*H5*365*Assumptions!$B$5/(Assumptions!$B$6*G5)),0),0)</f>
        <v/>
      </c>
      <c r="T5" s="28">
        <f>MAX(S5,L5)</f>
        <v/>
      </c>
      <c r="U5" s="28">
        <f>M5+N5</f>
        <v/>
      </c>
      <c r="V5" s="28">
        <f>IF(H5&gt;0,M5/H5,999)</f>
        <v/>
      </c>
      <c r="W5" s="28">
        <f>MAX(0,U5-MAX(R5+T5,H5*Assumptions!$B$10))</f>
        <v/>
      </c>
      <c r="X5" s="29">
        <f>W5*G5</f>
        <v/>
      </c>
      <c r="Y5" s="28">
        <f>IF(U5&lt;=R5,"REORDER NOW",IF(W5&gt;0,"EXCESS - pause orders / promote","OK"))</f>
        <v/>
      </c>
      <c r="Z5" s="28">
        <f>IF(Y5="REORDER NOW",T5,0)</f>
        <v/>
      </c>
    </row>
    <row r="6">
      <c r="A6" s="5" t="inlineStr">
        <is>
          <t>P0002</t>
        </is>
      </c>
      <c r="B6" s="5" t="inlineStr">
        <is>
          <t>Electronics Item 002</t>
        </is>
      </c>
      <c r="C6" s="5" t="inlineStr">
        <is>
          <t>Electronics</t>
        </is>
      </c>
      <c r="D6" s="5" t="inlineStr">
        <is>
          <t>S07</t>
        </is>
      </c>
      <c r="E6" s="5" t="inlineStr">
        <is>
          <t>A</t>
        </is>
      </c>
      <c r="F6" s="5" t="inlineStr">
        <is>
          <t>X</t>
        </is>
      </c>
      <c r="G6" s="22" t="n">
        <v>22.72</v>
      </c>
      <c r="H6" s="23" t="n">
        <v>5.037</v>
      </c>
      <c r="I6" s="23" t="n">
        <v>3.075</v>
      </c>
      <c r="J6" s="24" t="n">
        <v>14.688</v>
      </c>
      <c r="K6" s="24" t="n">
        <v>2.076</v>
      </c>
      <c r="L6" s="25" t="n">
        <v>100</v>
      </c>
      <c r="M6" s="25" t="n">
        <v>0</v>
      </c>
      <c r="N6" s="25" t="n">
        <v>207</v>
      </c>
      <c r="O6" s="26">
        <f>INDEX(Assumptions!$B$13:$B$15,MATCH(E6,Assumptions!$A$13:$A$15,0))</f>
        <v/>
      </c>
      <c r="P6" s="27">
        <f>NORMSINV(O6)</f>
        <v/>
      </c>
      <c r="Q6" s="28">
        <f>ROUNDUP(P6*SQRT(J6*I6^2+H6^2*K6^2),0)</f>
        <v/>
      </c>
      <c r="R6" s="28">
        <f>ROUNDUP(H6*J6+Q6,0)</f>
        <v/>
      </c>
      <c r="S6" s="28">
        <f>IF(H6&gt;0,ROUNDUP(SQRT(2*H6*365*Assumptions!$B$5/(Assumptions!$B$6*G6)),0),0)</f>
        <v/>
      </c>
      <c r="T6" s="28">
        <f>MAX(S6,L6)</f>
        <v/>
      </c>
      <c r="U6" s="28">
        <f>M6+N6</f>
        <v/>
      </c>
      <c r="V6" s="28">
        <f>IF(H6&gt;0,M6/H6,999)</f>
        <v/>
      </c>
      <c r="W6" s="28">
        <f>MAX(0,U6-MAX(R6+T6,H6*Assumptions!$B$10))</f>
        <v/>
      </c>
      <c r="X6" s="29">
        <f>W6*G6</f>
        <v/>
      </c>
      <c r="Y6" s="28">
        <f>IF(U6&lt;=R6,"REORDER NOW",IF(W6&gt;0,"EXCESS - pause orders / promote","OK"))</f>
        <v/>
      </c>
      <c r="Z6" s="28">
        <f>IF(Y6="REORDER NOW",T6,0)</f>
        <v/>
      </c>
    </row>
    <row r="7">
      <c r="A7" s="5" t="inlineStr">
        <is>
          <t>P0003</t>
        </is>
      </c>
      <c r="B7" s="5" t="inlineStr">
        <is>
          <t>Electronics Item 003</t>
        </is>
      </c>
      <c r="C7" s="5" t="inlineStr">
        <is>
          <t>Electronics</t>
        </is>
      </c>
      <c r="D7" s="5" t="inlineStr">
        <is>
          <t>S06</t>
        </is>
      </c>
      <c r="E7" s="5" t="inlineStr">
        <is>
          <t>A</t>
        </is>
      </c>
      <c r="F7" s="5" t="inlineStr">
        <is>
          <t>X</t>
        </is>
      </c>
      <c r="G7" s="22" t="n">
        <v>173.91</v>
      </c>
      <c r="H7" s="23" t="n">
        <v>3.051</v>
      </c>
      <c r="I7" s="23" t="n">
        <v>2.692</v>
      </c>
      <c r="J7" s="24" t="n">
        <v>13.277</v>
      </c>
      <c r="K7" s="24" t="n">
        <v>2.821</v>
      </c>
      <c r="L7" s="25" t="n">
        <v>48</v>
      </c>
      <c r="M7" s="25" t="n">
        <v>72</v>
      </c>
      <c r="N7" s="25" t="n">
        <v>0</v>
      </c>
      <c r="O7" s="26">
        <f>INDEX(Assumptions!$B$13:$B$15,MATCH(E7,Assumptions!$A$13:$A$15,0))</f>
        <v/>
      </c>
      <c r="P7" s="27">
        <f>NORMSINV(O7)</f>
        <v/>
      </c>
      <c r="Q7" s="28">
        <f>ROUNDUP(P7*SQRT(J7*I7^2+H7^2*K7^2),0)</f>
        <v/>
      </c>
      <c r="R7" s="28">
        <f>ROUNDUP(H7*J7+Q7,0)</f>
        <v/>
      </c>
      <c r="S7" s="28">
        <f>IF(H7&gt;0,ROUNDUP(SQRT(2*H7*365*Assumptions!$B$5/(Assumptions!$B$6*G7)),0),0)</f>
        <v/>
      </c>
      <c r="T7" s="28">
        <f>MAX(S7,L7)</f>
        <v/>
      </c>
      <c r="U7" s="28">
        <f>M7+N7</f>
        <v/>
      </c>
      <c r="V7" s="28">
        <f>IF(H7&gt;0,M7/H7,999)</f>
        <v/>
      </c>
      <c r="W7" s="28">
        <f>MAX(0,U7-MAX(R7+T7,H7*Assumptions!$B$10))</f>
        <v/>
      </c>
      <c r="X7" s="29">
        <f>W7*G7</f>
        <v/>
      </c>
      <c r="Y7" s="28">
        <f>IF(U7&lt;=R7,"REORDER NOW",IF(W7&gt;0,"EXCESS - pause orders / promote","OK"))</f>
        <v/>
      </c>
      <c r="Z7" s="28">
        <f>IF(Y7="REORDER NOW",T7,0)</f>
        <v/>
      </c>
    </row>
    <row r="8">
      <c r="A8" s="5" t="inlineStr">
        <is>
          <t>P0004</t>
        </is>
      </c>
      <c r="B8" s="5" t="inlineStr">
        <is>
          <t>Electronics Item 004</t>
        </is>
      </c>
      <c r="C8" s="5" t="inlineStr">
        <is>
          <t>Electronics</t>
        </is>
      </c>
      <c r="D8" s="5" t="inlineStr">
        <is>
          <t>S04</t>
        </is>
      </c>
      <c r="E8" s="5" t="inlineStr">
        <is>
          <t>A</t>
        </is>
      </c>
      <c r="F8" s="5" t="inlineStr">
        <is>
          <t>X</t>
        </is>
      </c>
      <c r="G8" s="22" t="n">
        <v>188.17</v>
      </c>
      <c r="H8" s="23" t="n">
        <v>0.991</v>
      </c>
      <c r="I8" s="23" t="n">
        <v>1.458</v>
      </c>
      <c r="J8" s="24" t="n">
        <v>39.643</v>
      </c>
      <c r="K8" s="24" t="n">
        <v>7.265</v>
      </c>
      <c r="L8" s="25" t="n">
        <v>200</v>
      </c>
      <c r="M8" s="25" t="n">
        <v>126</v>
      </c>
      <c r="N8" s="25" t="n">
        <v>0</v>
      </c>
      <c r="O8" s="26">
        <f>INDEX(Assumptions!$B$13:$B$15,MATCH(E8,Assumptions!$A$13:$A$15,0))</f>
        <v/>
      </c>
      <c r="P8" s="27">
        <f>NORMSINV(O8)</f>
        <v/>
      </c>
      <c r="Q8" s="28">
        <f>ROUNDUP(P8*SQRT(J8*I8^2+H8^2*K8^2),0)</f>
        <v/>
      </c>
      <c r="R8" s="28">
        <f>ROUNDUP(H8*J8+Q8,0)</f>
        <v/>
      </c>
      <c r="S8" s="28">
        <f>IF(H8&gt;0,ROUNDUP(SQRT(2*H8*365*Assumptions!$B$5/(Assumptions!$B$6*G8)),0),0)</f>
        <v/>
      </c>
      <c r="T8" s="28">
        <f>MAX(S8,L8)</f>
        <v/>
      </c>
      <c r="U8" s="28">
        <f>M8+N8</f>
        <v/>
      </c>
      <c r="V8" s="28">
        <f>IF(H8&gt;0,M8/H8,999)</f>
        <v/>
      </c>
      <c r="W8" s="28">
        <f>MAX(0,U8-MAX(R8+T8,H8*Assumptions!$B$10))</f>
        <v/>
      </c>
      <c r="X8" s="29">
        <f>W8*G8</f>
        <v/>
      </c>
      <c r="Y8" s="28">
        <f>IF(U8&lt;=R8,"REORDER NOW",IF(W8&gt;0,"EXCESS - pause orders / promote","OK"))</f>
        <v/>
      </c>
      <c r="Z8" s="28">
        <f>IF(Y8="REORDER NOW",T8,0)</f>
        <v/>
      </c>
    </row>
    <row r="9">
      <c r="A9" s="5" t="inlineStr">
        <is>
          <t>P0006</t>
        </is>
      </c>
      <c r="B9" s="5" t="inlineStr">
        <is>
          <t>Electronics Item 006</t>
        </is>
      </c>
      <c r="C9" s="5" t="inlineStr">
        <is>
          <t>Electronics</t>
        </is>
      </c>
      <c r="D9" s="5" t="inlineStr">
        <is>
          <t>S01</t>
        </is>
      </c>
      <c r="E9" s="5" t="inlineStr">
        <is>
          <t>A</t>
        </is>
      </c>
      <c r="F9" s="5" t="inlineStr">
        <is>
          <t>X</t>
        </is>
      </c>
      <c r="G9" s="22" t="n">
        <v>150.75</v>
      </c>
      <c r="H9" s="23" t="n">
        <v>4.405</v>
      </c>
      <c r="I9" s="23" t="n">
        <v>2.745</v>
      </c>
      <c r="J9" s="24" t="n">
        <v>7.124</v>
      </c>
      <c r="K9" s="24" t="n">
        <v>1.029</v>
      </c>
      <c r="L9" s="25" t="n">
        <v>24</v>
      </c>
      <c r="M9" s="25" t="n">
        <v>41</v>
      </c>
      <c r="N9" s="25" t="n">
        <v>0</v>
      </c>
      <c r="O9" s="26">
        <f>INDEX(Assumptions!$B$13:$B$15,MATCH(E9,Assumptions!$A$13:$A$15,0))</f>
        <v/>
      </c>
      <c r="P9" s="27">
        <f>NORMSINV(O9)</f>
        <v/>
      </c>
      <c r="Q9" s="28">
        <f>ROUNDUP(P9*SQRT(J9*I9^2+H9^2*K9^2),0)</f>
        <v/>
      </c>
      <c r="R9" s="28">
        <f>ROUNDUP(H9*J9+Q9,0)</f>
        <v/>
      </c>
      <c r="S9" s="28">
        <f>IF(H9&gt;0,ROUNDUP(SQRT(2*H9*365*Assumptions!$B$5/(Assumptions!$B$6*G9)),0),0)</f>
        <v/>
      </c>
      <c r="T9" s="28">
        <f>MAX(S9,L9)</f>
        <v/>
      </c>
      <c r="U9" s="28">
        <f>M9+N9</f>
        <v/>
      </c>
      <c r="V9" s="28">
        <f>IF(H9&gt;0,M9/H9,999)</f>
        <v/>
      </c>
      <c r="W9" s="28">
        <f>MAX(0,U9-MAX(R9+T9,H9*Assumptions!$B$10))</f>
        <v/>
      </c>
      <c r="X9" s="29">
        <f>W9*G9</f>
        <v/>
      </c>
      <c r="Y9" s="28">
        <f>IF(U9&lt;=R9,"REORDER NOW",IF(W9&gt;0,"EXCESS - pause orders / promote","OK"))</f>
        <v/>
      </c>
      <c r="Z9" s="28">
        <f>IF(Y9="REORDER NOW",T9,0)</f>
        <v/>
      </c>
    </row>
    <row r="10">
      <c r="A10" s="5" t="inlineStr">
        <is>
          <t>P0007</t>
        </is>
      </c>
      <c r="B10" s="5" t="inlineStr">
        <is>
          <t>Electronics Item 007</t>
        </is>
      </c>
      <c r="C10" s="5" t="inlineStr">
        <is>
          <t>Electronics</t>
        </is>
      </c>
      <c r="D10" s="5" t="inlineStr">
        <is>
          <t>S07</t>
        </is>
      </c>
      <c r="E10" s="5" t="inlineStr">
        <is>
          <t>A</t>
        </is>
      </c>
      <c r="F10" s="5" t="inlineStr">
        <is>
          <t>X</t>
        </is>
      </c>
      <c r="G10" s="22" t="n">
        <v>41.52</v>
      </c>
      <c r="H10" s="23" t="n">
        <v>4.324</v>
      </c>
      <c r="I10" s="23" t="n">
        <v>3.141</v>
      </c>
      <c r="J10" s="24" t="n">
        <v>14.688</v>
      </c>
      <c r="K10" s="24" t="n">
        <v>2.076</v>
      </c>
      <c r="L10" s="25" t="n">
        <v>100</v>
      </c>
      <c r="M10" s="25" t="n">
        <v>481</v>
      </c>
      <c r="N10" s="25" t="n">
        <v>0</v>
      </c>
      <c r="O10" s="26">
        <f>INDEX(Assumptions!$B$13:$B$15,MATCH(E10,Assumptions!$A$13:$A$15,0))</f>
        <v/>
      </c>
      <c r="P10" s="27">
        <f>NORMSINV(O10)</f>
        <v/>
      </c>
      <c r="Q10" s="28">
        <f>ROUNDUP(P10*SQRT(J10*I10^2+H10^2*K10^2),0)</f>
        <v/>
      </c>
      <c r="R10" s="28">
        <f>ROUNDUP(H10*J10+Q10,0)</f>
        <v/>
      </c>
      <c r="S10" s="28">
        <f>IF(H10&gt;0,ROUNDUP(SQRT(2*H10*365*Assumptions!$B$5/(Assumptions!$B$6*G10)),0),0)</f>
        <v/>
      </c>
      <c r="T10" s="28">
        <f>MAX(S10,L10)</f>
        <v/>
      </c>
      <c r="U10" s="28">
        <f>M10+N10</f>
        <v/>
      </c>
      <c r="V10" s="28">
        <f>IF(H10&gt;0,M10/H10,999)</f>
        <v/>
      </c>
      <c r="W10" s="28">
        <f>MAX(0,U10-MAX(R10+T10,H10*Assumptions!$B$10))</f>
        <v/>
      </c>
      <c r="X10" s="29">
        <f>W10*G10</f>
        <v/>
      </c>
      <c r="Y10" s="28">
        <f>IF(U10&lt;=R10,"REORDER NOW",IF(W10&gt;0,"EXCESS - pause orders / promote","OK"))</f>
        <v/>
      </c>
      <c r="Z10" s="28">
        <f>IF(Y10="REORDER NOW",T10,0)</f>
        <v/>
      </c>
    </row>
    <row r="11">
      <c r="A11" s="5" t="inlineStr">
        <is>
          <t>P0012</t>
        </is>
      </c>
      <c r="B11" s="5" t="inlineStr">
        <is>
          <t>Electronics Item 012</t>
        </is>
      </c>
      <c r="C11" s="5" t="inlineStr">
        <is>
          <t>Electronics</t>
        </is>
      </c>
      <c r="D11" s="5" t="inlineStr">
        <is>
          <t>S03</t>
        </is>
      </c>
      <c r="E11" s="5" t="inlineStr">
        <is>
          <t>A</t>
        </is>
      </c>
      <c r="F11" s="5" t="inlineStr">
        <is>
          <t>X</t>
        </is>
      </c>
      <c r="G11" s="22" t="n">
        <v>115.73</v>
      </c>
      <c r="H11" s="23" t="n">
        <v>5.393</v>
      </c>
      <c r="I11" s="23" t="n">
        <v>3.343</v>
      </c>
      <c r="J11" s="24" t="n">
        <v>5.124</v>
      </c>
      <c r="K11" s="24" t="n">
        <v>0.839</v>
      </c>
      <c r="L11" s="25" t="n">
        <v>12</v>
      </c>
      <c r="M11" s="25" t="n">
        <v>177</v>
      </c>
      <c r="N11" s="25" t="n">
        <v>0</v>
      </c>
      <c r="O11" s="26">
        <f>INDEX(Assumptions!$B$13:$B$15,MATCH(E11,Assumptions!$A$13:$A$15,0))</f>
        <v/>
      </c>
      <c r="P11" s="27">
        <f>NORMSINV(O11)</f>
        <v/>
      </c>
      <c r="Q11" s="28">
        <f>ROUNDUP(P11*SQRT(J11*I11^2+H11^2*K11^2),0)</f>
        <v/>
      </c>
      <c r="R11" s="28">
        <f>ROUNDUP(H11*J11+Q11,0)</f>
        <v/>
      </c>
      <c r="S11" s="28">
        <f>IF(H11&gt;0,ROUNDUP(SQRT(2*H11*365*Assumptions!$B$5/(Assumptions!$B$6*G11)),0),0)</f>
        <v/>
      </c>
      <c r="T11" s="28">
        <f>MAX(S11,L11)</f>
        <v/>
      </c>
      <c r="U11" s="28">
        <f>M11+N11</f>
        <v/>
      </c>
      <c r="V11" s="28">
        <f>IF(H11&gt;0,M11/H11,999)</f>
        <v/>
      </c>
      <c r="W11" s="28">
        <f>MAX(0,U11-MAX(R11+T11,H11*Assumptions!$B$10))</f>
        <v/>
      </c>
      <c r="X11" s="29">
        <f>W11*G11</f>
        <v/>
      </c>
      <c r="Y11" s="28">
        <f>IF(U11&lt;=R11,"REORDER NOW",IF(W11&gt;0,"EXCESS - pause orders / promote","OK"))</f>
        <v/>
      </c>
      <c r="Z11" s="28">
        <f>IF(Y11="REORDER NOW",T11,0)</f>
        <v/>
      </c>
    </row>
    <row r="12">
      <c r="A12" s="5" t="inlineStr">
        <is>
          <t>P0013</t>
        </is>
      </c>
      <c r="B12" s="5" t="inlineStr">
        <is>
          <t>Electronics Item 013</t>
        </is>
      </c>
      <c r="C12" s="5" t="inlineStr">
        <is>
          <t>Electronics</t>
        </is>
      </c>
      <c r="D12" s="5" t="inlineStr">
        <is>
          <t>S05</t>
        </is>
      </c>
      <c r="E12" s="5" t="inlineStr">
        <is>
          <t>A</t>
        </is>
      </c>
      <c r="F12" s="5" t="inlineStr">
        <is>
          <t>X</t>
        </is>
      </c>
      <c r="G12" s="22" t="n">
        <v>131.65</v>
      </c>
      <c r="H12" s="23" t="n">
        <v>4.085</v>
      </c>
      <c r="I12" s="23" t="n">
        <v>2.607</v>
      </c>
      <c r="J12" s="24" t="n">
        <v>8.19</v>
      </c>
      <c r="K12" s="24" t="n">
        <v>1.086</v>
      </c>
      <c r="L12" s="25" t="n">
        <v>24</v>
      </c>
      <c r="M12" s="25" t="n">
        <v>45</v>
      </c>
      <c r="N12" s="25" t="n">
        <v>0</v>
      </c>
      <c r="O12" s="26">
        <f>INDEX(Assumptions!$B$13:$B$15,MATCH(E12,Assumptions!$A$13:$A$15,0))</f>
        <v/>
      </c>
      <c r="P12" s="27">
        <f>NORMSINV(O12)</f>
        <v/>
      </c>
      <c r="Q12" s="28">
        <f>ROUNDUP(P12*SQRT(J12*I12^2+H12^2*K12^2),0)</f>
        <v/>
      </c>
      <c r="R12" s="28">
        <f>ROUNDUP(H12*J12+Q12,0)</f>
        <v/>
      </c>
      <c r="S12" s="28">
        <f>IF(H12&gt;0,ROUNDUP(SQRT(2*H12*365*Assumptions!$B$5/(Assumptions!$B$6*G12)),0),0)</f>
        <v/>
      </c>
      <c r="T12" s="28">
        <f>MAX(S12,L12)</f>
        <v/>
      </c>
      <c r="U12" s="28">
        <f>M12+N12</f>
        <v/>
      </c>
      <c r="V12" s="28">
        <f>IF(H12&gt;0,M12/H12,999)</f>
        <v/>
      </c>
      <c r="W12" s="28">
        <f>MAX(0,U12-MAX(R12+T12,H12*Assumptions!$B$10))</f>
        <v/>
      </c>
      <c r="X12" s="29">
        <f>W12*G12</f>
        <v/>
      </c>
      <c r="Y12" s="28">
        <f>IF(U12&lt;=R12,"REORDER NOW",IF(W12&gt;0,"EXCESS - pause orders / promote","OK"))</f>
        <v/>
      </c>
      <c r="Z12" s="28">
        <f>IF(Y12="REORDER NOW",T12,0)</f>
        <v/>
      </c>
    </row>
    <row r="13">
      <c r="A13" s="5" t="inlineStr">
        <is>
          <t>P0016</t>
        </is>
      </c>
      <c r="B13" s="5" t="inlineStr">
        <is>
          <t>Electronics Item 016</t>
        </is>
      </c>
      <c r="C13" s="5" t="inlineStr">
        <is>
          <t>Electronics</t>
        </is>
      </c>
      <c r="D13" s="5" t="inlineStr">
        <is>
          <t>S08</t>
        </is>
      </c>
      <c r="E13" s="5" t="inlineStr">
        <is>
          <t>A</t>
        </is>
      </c>
      <c r="F13" s="5" t="inlineStr">
        <is>
          <t>X</t>
        </is>
      </c>
      <c r="G13" s="22" t="n">
        <v>99.55</v>
      </c>
      <c r="H13" s="23" t="n">
        <v>1.333</v>
      </c>
      <c r="I13" s="23" t="n">
        <v>1.826</v>
      </c>
      <c r="J13" s="24" t="n">
        <v>9.132</v>
      </c>
      <c r="K13" s="24" t="n">
        <v>1.033</v>
      </c>
      <c r="L13" s="25" t="n">
        <v>12</v>
      </c>
      <c r="M13" s="25" t="n">
        <v>27</v>
      </c>
      <c r="N13" s="25" t="n">
        <v>0</v>
      </c>
      <c r="O13" s="26">
        <f>INDEX(Assumptions!$B$13:$B$15,MATCH(E13,Assumptions!$A$13:$A$15,0))</f>
        <v/>
      </c>
      <c r="P13" s="27">
        <f>NORMSINV(O13)</f>
        <v/>
      </c>
      <c r="Q13" s="28">
        <f>ROUNDUP(P13*SQRT(J13*I13^2+H13^2*K13^2),0)</f>
        <v/>
      </c>
      <c r="R13" s="28">
        <f>ROUNDUP(H13*J13+Q13,0)</f>
        <v/>
      </c>
      <c r="S13" s="28">
        <f>IF(H13&gt;0,ROUNDUP(SQRT(2*H13*365*Assumptions!$B$5/(Assumptions!$B$6*G13)),0),0)</f>
        <v/>
      </c>
      <c r="T13" s="28">
        <f>MAX(S13,L13)</f>
        <v/>
      </c>
      <c r="U13" s="28">
        <f>M13+N13</f>
        <v/>
      </c>
      <c r="V13" s="28">
        <f>IF(H13&gt;0,M13/H13,999)</f>
        <v/>
      </c>
      <c r="W13" s="28">
        <f>MAX(0,U13-MAX(R13+T13,H13*Assumptions!$B$10))</f>
        <v/>
      </c>
      <c r="X13" s="29">
        <f>W13*G13</f>
        <v/>
      </c>
      <c r="Y13" s="28">
        <f>IF(U13&lt;=R13,"REORDER NOW",IF(W13&gt;0,"EXCESS - pause orders / promote","OK"))</f>
        <v/>
      </c>
      <c r="Z13" s="28">
        <f>IF(Y13="REORDER NOW",T13,0)</f>
        <v/>
      </c>
    </row>
    <row r="14">
      <c r="A14" s="5" t="inlineStr">
        <is>
          <t>P0018</t>
        </is>
      </c>
      <c r="B14" s="5" t="inlineStr">
        <is>
          <t>Electronics Item 018</t>
        </is>
      </c>
      <c r="C14" s="5" t="inlineStr">
        <is>
          <t>Electronics</t>
        </is>
      </c>
      <c r="D14" s="5" t="inlineStr">
        <is>
          <t>S02</t>
        </is>
      </c>
      <c r="E14" s="5" t="inlineStr">
        <is>
          <t>A</t>
        </is>
      </c>
      <c r="F14" s="5" t="inlineStr">
        <is>
          <t>X</t>
        </is>
      </c>
      <c r="G14" s="22" t="n">
        <v>113.46</v>
      </c>
      <c r="H14" s="23" t="n">
        <v>5.6</v>
      </c>
      <c r="I14" s="23" t="n">
        <v>3.864</v>
      </c>
      <c r="J14" s="24" t="n">
        <v>10.431</v>
      </c>
      <c r="K14" s="24" t="n">
        <v>1.544</v>
      </c>
      <c r="L14" s="25" t="n">
        <v>50</v>
      </c>
      <c r="M14" s="25" t="n">
        <v>124</v>
      </c>
      <c r="N14" s="25" t="n">
        <v>0</v>
      </c>
      <c r="O14" s="26">
        <f>INDEX(Assumptions!$B$13:$B$15,MATCH(E14,Assumptions!$A$13:$A$15,0))</f>
        <v/>
      </c>
      <c r="P14" s="27">
        <f>NORMSINV(O14)</f>
        <v/>
      </c>
      <c r="Q14" s="28">
        <f>ROUNDUP(P14*SQRT(J14*I14^2+H14^2*K14^2),0)</f>
        <v/>
      </c>
      <c r="R14" s="28">
        <f>ROUNDUP(H14*J14+Q14,0)</f>
        <v/>
      </c>
      <c r="S14" s="28">
        <f>IF(H14&gt;0,ROUNDUP(SQRT(2*H14*365*Assumptions!$B$5/(Assumptions!$B$6*G14)),0),0)</f>
        <v/>
      </c>
      <c r="T14" s="28">
        <f>MAX(S14,L14)</f>
        <v/>
      </c>
      <c r="U14" s="28">
        <f>M14+N14</f>
        <v/>
      </c>
      <c r="V14" s="28">
        <f>IF(H14&gt;0,M14/H14,999)</f>
        <v/>
      </c>
      <c r="W14" s="28">
        <f>MAX(0,U14-MAX(R14+T14,H14*Assumptions!$B$10))</f>
        <v/>
      </c>
      <c r="X14" s="29">
        <f>W14*G14</f>
        <v/>
      </c>
      <c r="Y14" s="28">
        <f>IF(U14&lt;=R14,"REORDER NOW",IF(W14&gt;0,"EXCESS - pause orders / promote","OK"))</f>
        <v/>
      </c>
      <c r="Z14" s="28">
        <f>IF(Y14="REORDER NOW",T14,0)</f>
        <v/>
      </c>
    </row>
    <row r="15">
      <c r="A15" s="5" t="inlineStr">
        <is>
          <t>P0019</t>
        </is>
      </c>
      <c r="B15" s="5" t="inlineStr">
        <is>
          <t>Electronics Item 019</t>
        </is>
      </c>
      <c r="C15" s="5" t="inlineStr">
        <is>
          <t>Electronics</t>
        </is>
      </c>
      <c r="D15" s="5" t="inlineStr">
        <is>
          <t>S01</t>
        </is>
      </c>
      <c r="E15" s="5" t="inlineStr">
        <is>
          <t>A</t>
        </is>
      </c>
      <c r="F15" s="5" t="inlineStr">
        <is>
          <t>X</t>
        </is>
      </c>
      <c r="G15" s="22" t="n">
        <v>130.29</v>
      </c>
      <c r="H15" s="23" t="n">
        <v>6.16</v>
      </c>
      <c r="I15" s="23" t="n">
        <v>3.738</v>
      </c>
      <c r="J15" s="24" t="n">
        <v>7.124</v>
      </c>
      <c r="K15" s="24" t="n">
        <v>1.029</v>
      </c>
      <c r="L15" s="25" t="n">
        <v>24</v>
      </c>
      <c r="M15" s="25" t="n">
        <v>225</v>
      </c>
      <c r="N15" s="25" t="n">
        <v>0</v>
      </c>
      <c r="O15" s="26">
        <f>INDEX(Assumptions!$B$13:$B$15,MATCH(E15,Assumptions!$A$13:$A$15,0))</f>
        <v/>
      </c>
      <c r="P15" s="27">
        <f>NORMSINV(O15)</f>
        <v/>
      </c>
      <c r="Q15" s="28">
        <f>ROUNDUP(P15*SQRT(J15*I15^2+H15^2*K15^2),0)</f>
        <v/>
      </c>
      <c r="R15" s="28">
        <f>ROUNDUP(H15*J15+Q15,0)</f>
        <v/>
      </c>
      <c r="S15" s="28">
        <f>IF(H15&gt;0,ROUNDUP(SQRT(2*H15*365*Assumptions!$B$5/(Assumptions!$B$6*G15)),0),0)</f>
        <v/>
      </c>
      <c r="T15" s="28">
        <f>MAX(S15,L15)</f>
        <v/>
      </c>
      <c r="U15" s="28">
        <f>M15+N15</f>
        <v/>
      </c>
      <c r="V15" s="28">
        <f>IF(H15&gt;0,M15/H15,999)</f>
        <v/>
      </c>
      <c r="W15" s="28">
        <f>MAX(0,U15-MAX(R15+T15,H15*Assumptions!$B$10))</f>
        <v/>
      </c>
      <c r="X15" s="29">
        <f>W15*G15</f>
        <v/>
      </c>
      <c r="Y15" s="28">
        <f>IF(U15&lt;=R15,"REORDER NOW",IF(W15&gt;0,"EXCESS - pause orders / promote","OK"))</f>
        <v/>
      </c>
      <c r="Z15" s="28">
        <f>IF(Y15="REORDER NOW",T15,0)</f>
        <v/>
      </c>
    </row>
    <row r="16">
      <c r="A16" s="5" t="inlineStr">
        <is>
          <t>P0020</t>
        </is>
      </c>
      <c r="B16" s="5" t="inlineStr">
        <is>
          <t>Electronics Item 020</t>
        </is>
      </c>
      <c r="C16" s="5" t="inlineStr">
        <is>
          <t>Electronics</t>
        </is>
      </c>
      <c r="D16" s="5" t="inlineStr">
        <is>
          <t>S06</t>
        </is>
      </c>
      <c r="E16" s="5" t="inlineStr">
        <is>
          <t>A</t>
        </is>
      </c>
      <c r="F16" s="5" t="inlineStr">
        <is>
          <t>X</t>
        </is>
      </c>
      <c r="G16" s="22" t="n">
        <v>59.66</v>
      </c>
      <c r="H16" s="23" t="n">
        <v>7.045</v>
      </c>
      <c r="I16" s="23" t="n">
        <v>3.479</v>
      </c>
      <c r="J16" s="24" t="n">
        <v>13.277</v>
      </c>
      <c r="K16" s="24" t="n">
        <v>2.821</v>
      </c>
      <c r="L16" s="25" t="n">
        <v>48</v>
      </c>
      <c r="M16" s="25" t="n">
        <v>51</v>
      </c>
      <c r="N16" s="25" t="n">
        <v>126</v>
      </c>
      <c r="O16" s="26">
        <f>INDEX(Assumptions!$B$13:$B$15,MATCH(E16,Assumptions!$A$13:$A$15,0))</f>
        <v/>
      </c>
      <c r="P16" s="27">
        <f>NORMSINV(O16)</f>
        <v/>
      </c>
      <c r="Q16" s="28">
        <f>ROUNDUP(P16*SQRT(J16*I16^2+H16^2*K16^2),0)</f>
        <v/>
      </c>
      <c r="R16" s="28">
        <f>ROUNDUP(H16*J16+Q16,0)</f>
        <v/>
      </c>
      <c r="S16" s="28">
        <f>IF(H16&gt;0,ROUNDUP(SQRT(2*H16*365*Assumptions!$B$5/(Assumptions!$B$6*G16)),0),0)</f>
        <v/>
      </c>
      <c r="T16" s="28">
        <f>MAX(S16,L16)</f>
        <v/>
      </c>
      <c r="U16" s="28">
        <f>M16+N16</f>
        <v/>
      </c>
      <c r="V16" s="28">
        <f>IF(H16&gt;0,M16/H16,999)</f>
        <v/>
      </c>
      <c r="W16" s="28">
        <f>MAX(0,U16-MAX(R16+T16,H16*Assumptions!$B$10))</f>
        <v/>
      </c>
      <c r="X16" s="29">
        <f>W16*G16</f>
        <v/>
      </c>
      <c r="Y16" s="28">
        <f>IF(U16&lt;=R16,"REORDER NOW",IF(W16&gt;0,"EXCESS - pause orders / promote","OK"))</f>
        <v/>
      </c>
      <c r="Z16" s="28">
        <f>IF(Y16="REORDER NOW",T16,0)</f>
        <v/>
      </c>
    </row>
    <row r="17">
      <c r="A17" s="5" t="inlineStr">
        <is>
          <t>P0021</t>
        </is>
      </c>
      <c r="B17" s="5" t="inlineStr">
        <is>
          <t>Electronics Item 021</t>
        </is>
      </c>
      <c r="C17" s="5" t="inlineStr">
        <is>
          <t>Electronics</t>
        </is>
      </c>
      <c r="D17" s="5" t="inlineStr">
        <is>
          <t>S01</t>
        </is>
      </c>
      <c r="E17" s="5" t="inlineStr">
        <is>
          <t>A</t>
        </is>
      </c>
      <c r="F17" s="5" t="inlineStr">
        <is>
          <t>Y</t>
        </is>
      </c>
      <c r="G17" s="22" t="n">
        <v>41.14</v>
      </c>
      <c r="H17" s="23" t="n">
        <v>1.134</v>
      </c>
      <c r="I17" s="23" t="n">
        <v>1.483</v>
      </c>
      <c r="J17" s="24" t="n">
        <v>7.124</v>
      </c>
      <c r="K17" s="24" t="n">
        <v>1.029</v>
      </c>
      <c r="L17" s="25" t="n">
        <v>24</v>
      </c>
      <c r="M17" s="25" t="n">
        <v>107</v>
      </c>
      <c r="N17" s="25" t="n">
        <v>0</v>
      </c>
      <c r="O17" s="26">
        <f>INDEX(Assumptions!$B$13:$B$15,MATCH(E17,Assumptions!$A$13:$A$15,0))</f>
        <v/>
      </c>
      <c r="P17" s="27">
        <f>NORMSINV(O17)</f>
        <v/>
      </c>
      <c r="Q17" s="28">
        <f>ROUNDUP(P17*SQRT(J17*I17^2+H17^2*K17^2),0)</f>
        <v/>
      </c>
      <c r="R17" s="28">
        <f>ROUNDUP(H17*J17+Q17,0)</f>
        <v/>
      </c>
      <c r="S17" s="28">
        <f>IF(H17&gt;0,ROUNDUP(SQRT(2*H17*365*Assumptions!$B$5/(Assumptions!$B$6*G17)),0),0)</f>
        <v/>
      </c>
      <c r="T17" s="28">
        <f>MAX(S17,L17)</f>
        <v/>
      </c>
      <c r="U17" s="28">
        <f>M17+N17</f>
        <v/>
      </c>
      <c r="V17" s="28">
        <f>IF(H17&gt;0,M17/H17,999)</f>
        <v/>
      </c>
      <c r="W17" s="28">
        <f>MAX(0,U17-MAX(R17+T17,H17*Assumptions!$B$10))</f>
        <v/>
      </c>
      <c r="X17" s="29">
        <f>W17*G17</f>
        <v/>
      </c>
      <c r="Y17" s="28">
        <f>IF(U17&lt;=R17,"REORDER NOW",IF(W17&gt;0,"EXCESS - pause orders / promote","OK"))</f>
        <v/>
      </c>
      <c r="Z17" s="28">
        <f>IF(Y17="REORDER NOW",T17,0)</f>
        <v/>
      </c>
    </row>
    <row r="18">
      <c r="A18" s="5" t="inlineStr">
        <is>
          <t>P0022</t>
        </is>
      </c>
      <c r="B18" s="5" t="inlineStr">
        <is>
          <t>Electronics Item 022</t>
        </is>
      </c>
      <c r="C18" s="5" t="inlineStr">
        <is>
          <t>Electronics</t>
        </is>
      </c>
      <c r="D18" s="5" t="inlineStr">
        <is>
          <t>S03</t>
        </is>
      </c>
      <c r="E18" s="5" t="inlineStr">
        <is>
          <t>A</t>
        </is>
      </c>
      <c r="F18" s="5" t="inlineStr">
        <is>
          <t>X</t>
        </is>
      </c>
      <c r="G18" s="22" t="n">
        <v>30.45</v>
      </c>
      <c r="H18" s="23" t="n">
        <v>14.216</v>
      </c>
      <c r="I18" s="23" t="n">
        <v>6.39</v>
      </c>
      <c r="J18" s="24" t="n">
        <v>5.124</v>
      </c>
      <c r="K18" s="24" t="n">
        <v>0.839</v>
      </c>
      <c r="L18" s="25" t="n">
        <v>12</v>
      </c>
      <c r="M18" s="25" t="n">
        <v>493</v>
      </c>
      <c r="N18" s="25" t="n">
        <v>0</v>
      </c>
      <c r="O18" s="26">
        <f>INDEX(Assumptions!$B$13:$B$15,MATCH(E18,Assumptions!$A$13:$A$15,0))</f>
        <v/>
      </c>
      <c r="P18" s="27">
        <f>NORMSINV(O18)</f>
        <v/>
      </c>
      <c r="Q18" s="28">
        <f>ROUNDUP(P18*SQRT(J18*I18^2+H18^2*K18^2),0)</f>
        <v/>
      </c>
      <c r="R18" s="28">
        <f>ROUNDUP(H18*J18+Q18,0)</f>
        <v/>
      </c>
      <c r="S18" s="28">
        <f>IF(H18&gt;0,ROUNDUP(SQRT(2*H18*365*Assumptions!$B$5/(Assumptions!$B$6*G18)),0),0)</f>
        <v/>
      </c>
      <c r="T18" s="28">
        <f>MAX(S18,L18)</f>
        <v/>
      </c>
      <c r="U18" s="28">
        <f>M18+N18</f>
        <v/>
      </c>
      <c r="V18" s="28">
        <f>IF(H18&gt;0,M18/H18,999)</f>
        <v/>
      </c>
      <c r="W18" s="28">
        <f>MAX(0,U18-MAX(R18+T18,H18*Assumptions!$B$10))</f>
        <v/>
      </c>
      <c r="X18" s="29">
        <f>W18*G18</f>
        <v/>
      </c>
      <c r="Y18" s="28">
        <f>IF(U18&lt;=R18,"REORDER NOW",IF(W18&gt;0,"EXCESS - pause orders / promote","OK"))</f>
        <v/>
      </c>
      <c r="Z18" s="28">
        <f>IF(Y18="REORDER NOW",T18,0)</f>
        <v/>
      </c>
    </row>
    <row r="19">
      <c r="A19" s="5" t="inlineStr">
        <is>
          <t>P0023</t>
        </is>
      </c>
      <c r="B19" s="5" t="inlineStr">
        <is>
          <t>Electronics Item 023</t>
        </is>
      </c>
      <c r="C19" s="5" t="inlineStr">
        <is>
          <t>Electronics</t>
        </is>
      </c>
      <c r="D19" s="5" t="inlineStr">
        <is>
          <t>S10</t>
        </is>
      </c>
      <c r="E19" s="5" t="inlineStr">
        <is>
          <t>A</t>
        </is>
      </c>
      <c r="F19" s="5" t="inlineStr">
        <is>
          <t>X</t>
        </is>
      </c>
      <c r="G19" s="22" t="n">
        <v>107.04</v>
      </c>
      <c r="H19" s="23" t="n">
        <v>2.742</v>
      </c>
      <c r="I19" s="23" t="n">
        <v>2.123</v>
      </c>
      <c r="J19" s="24" t="n">
        <v>21.86</v>
      </c>
      <c r="K19" s="24" t="n">
        <v>2.931</v>
      </c>
      <c r="L19" s="25" t="n">
        <v>120</v>
      </c>
      <c r="M19" s="25" t="n">
        <v>93</v>
      </c>
      <c r="N19" s="25" t="n">
        <v>0</v>
      </c>
      <c r="O19" s="26">
        <f>INDEX(Assumptions!$B$13:$B$15,MATCH(E19,Assumptions!$A$13:$A$15,0))</f>
        <v/>
      </c>
      <c r="P19" s="27">
        <f>NORMSINV(O19)</f>
        <v/>
      </c>
      <c r="Q19" s="28">
        <f>ROUNDUP(P19*SQRT(J19*I19^2+H19^2*K19^2),0)</f>
        <v/>
      </c>
      <c r="R19" s="28">
        <f>ROUNDUP(H19*J19+Q19,0)</f>
        <v/>
      </c>
      <c r="S19" s="28">
        <f>IF(H19&gt;0,ROUNDUP(SQRT(2*H19*365*Assumptions!$B$5/(Assumptions!$B$6*G19)),0),0)</f>
        <v/>
      </c>
      <c r="T19" s="28">
        <f>MAX(S19,L19)</f>
        <v/>
      </c>
      <c r="U19" s="28">
        <f>M19+N19</f>
        <v/>
      </c>
      <c r="V19" s="28">
        <f>IF(H19&gt;0,M19/H19,999)</f>
        <v/>
      </c>
      <c r="W19" s="28">
        <f>MAX(0,U19-MAX(R19+T19,H19*Assumptions!$B$10))</f>
        <v/>
      </c>
      <c r="X19" s="29">
        <f>W19*G19</f>
        <v/>
      </c>
      <c r="Y19" s="28">
        <f>IF(U19&lt;=R19,"REORDER NOW",IF(W19&gt;0,"EXCESS - pause orders / promote","OK"))</f>
        <v/>
      </c>
      <c r="Z19" s="28">
        <f>IF(Y19="REORDER NOW",T19,0)</f>
        <v/>
      </c>
    </row>
    <row r="20">
      <c r="A20" s="5" t="inlineStr">
        <is>
          <t>P0025</t>
        </is>
      </c>
      <c r="B20" s="5" t="inlineStr">
        <is>
          <t>Electronics Item 025</t>
        </is>
      </c>
      <c r="C20" s="5" t="inlineStr">
        <is>
          <t>Electronics</t>
        </is>
      </c>
      <c r="D20" s="5" t="inlineStr">
        <is>
          <t>S07</t>
        </is>
      </c>
      <c r="E20" s="5" t="inlineStr">
        <is>
          <t>A</t>
        </is>
      </c>
      <c r="F20" s="5" t="inlineStr">
        <is>
          <t>X</t>
        </is>
      </c>
      <c r="G20" s="22" t="n">
        <v>30.47</v>
      </c>
      <c r="H20" s="23" t="n">
        <v>5.654</v>
      </c>
      <c r="I20" s="23" t="n">
        <v>3.524</v>
      </c>
      <c r="J20" s="24" t="n">
        <v>14.688</v>
      </c>
      <c r="K20" s="24" t="n">
        <v>2.076</v>
      </c>
      <c r="L20" s="25" t="n">
        <v>100</v>
      </c>
      <c r="M20" s="25" t="n">
        <v>87</v>
      </c>
      <c r="N20" s="25" t="n">
        <v>0</v>
      </c>
      <c r="O20" s="26">
        <f>INDEX(Assumptions!$B$13:$B$15,MATCH(E20,Assumptions!$A$13:$A$15,0))</f>
        <v/>
      </c>
      <c r="P20" s="27">
        <f>NORMSINV(O20)</f>
        <v/>
      </c>
      <c r="Q20" s="28">
        <f>ROUNDUP(P20*SQRT(J20*I20^2+H20^2*K20^2),0)</f>
        <v/>
      </c>
      <c r="R20" s="28">
        <f>ROUNDUP(H20*J20+Q20,0)</f>
        <v/>
      </c>
      <c r="S20" s="28">
        <f>IF(H20&gt;0,ROUNDUP(SQRT(2*H20*365*Assumptions!$B$5/(Assumptions!$B$6*G20)),0),0)</f>
        <v/>
      </c>
      <c r="T20" s="28">
        <f>MAX(S20,L20)</f>
        <v/>
      </c>
      <c r="U20" s="28">
        <f>M20+N20</f>
        <v/>
      </c>
      <c r="V20" s="28">
        <f>IF(H20&gt;0,M20/H20,999)</f>
        <v/>
      </c>
      <c r="W20" s="28">
        <f>MAX(0,U20-MAX(R20+T20,H20*Assumptions!$B$10))</f>
        <v/>
      </c>
      <c r="X20" s="29">
        <f>W20*G20</f>
        <v/>
      </c>
      <c r="Y20" s="28">
        <f>IF(U20&lt;=R20,"REORDER NOW",IF(W20&gt;0,"EXCESS - pause orders / promote","OK"))</f>
        <v/>
      </c>
      <c r="Z20" s="28">
        <f>IF(Y20="REORDER NOW",T20,0)</f>
        <v/>
      </c>
    </row>
    <row r="21">
      <c r="A21" s="5" t="inlineStr">
        <is>
          <t>P0034</t>
        </is>
      </c>
      <c r="B21" s="5" t="inlineStr">
        <is>
          <t>Home Item 034</t>
        </is>
      </c>
      <c r="C21" s="5" t="inlineStr">
        <is>
          <t>Home &amp; Kitchen</t>
        </is>
      </c>
      <c r="D21" s="5" t="inlineStr">
        <is>
          <t>S09</t>
        </is>
      </c>
      <c r="E21" s="5" t="inlineStr">
        <is>
          <t>A</t>
        </is>
      </c>
      <c r="F21" s="5" t="inlineStr">
        <is>
          <t>X</t>
        </is>
      </c>
      <c r="G21" s="22" t="n">
        <v>35.17</v>
      </c>
      <c r="H21" s="23" t="n">
        <v>3.575</v>
      </c>
      <c r="I21" s="23" t="n">
        <v>2.767</v>
      </c>
      <c r="J21" s="24" t="n">
        <v>13.138</v>
      </c>
      <c r="K21" s="24" t="n">
        <v>3.817</v>
      </c>
      <c r="L21" s="25" t="n">
        <v>150</v>
      </c>
      <c r="M21" s="25" t="n">
        <v>102</v>
      </c>
      <c r="N21" s="25" t="n">
        <v>0</v>
      </c>
      <c r="O21" s="26">
        <f>INDEX(Assumptions!$B$13:$B$15,MATCH(E21,Assumptions!$A$13:$A$15,0))</f>
        <v/>
      </c>
      <c r="P21" s="27">
        <f>NORMSINV(O21)</f>
        <v/>
      </c>
      <c r="Q21" s="28">
        <f>ROUNDUP(P21*SQRT(J21*I21^2+H21^2*K21^2),0)</f>
        <v/>
      </c>
      <c r="R21" s="28">
        <f>ROUNDUP(H21*J21+Q21,0)</f>
        <v/>
      </c>
      <c r="S21" s="28">
        <f>IF(H21&gt;0,ROUNDUP(SQRT(2*H21*365*Assumptions!$B$5/(Assumptions!$B$6*G21)),0),0)</f>
        <v/>
      </c>
      <c r="T21" s="28">
        <f>MAX(S21,L21)</f>
        <v/>
      </c>
      <c r="U21" s="28">
        <f>M21+N21</f>
        <v/>
      </c>
      <c r="V21" s="28">
        <f>IF(H21&gt;0,M21/H21,999)</f>
        <v/>
      </c>
      <c r="W21" s="28">
        <f>MAX(0,U21-MAX(R21+T21,H21*Assumptions!$B$10))</f>
        <v/>
      </c>
      <c r="X21" s="29">
        <f>W21*G21</f>
        <v/>
      </c>
      <c r="Y21" s="28">
        <f>IF(U21&lt;=R21,"REORDER NOW",IF(W21&gt;0,"EXCESS - pause orders / promote","OK"))</f>
        <v/>
      </c>
      <c r="Z21" s="28">
        <f>IF(Y21="REORDER NOW",T21,0)</f>
        <v/>
      </c>
    </row>
    <row r="22">
      <c r="A22" s="5" t="inlineStr">
        <is>
          <t>P0041</t>
        </is>
      </c>
      <c r="B22" s="5" t="inlineStr">
        <is>
          <t>Home Item 041</t>
        </is>
      </c>
      <c r="C22" s="5" t="inlineStr">
        <is>
          <t>Home &amp; Kitchen</t>
        </is>
      </c>
      <c r="D22" s="5" t="inlineStr">
        <is>
          <t>S02</t>
        </is>
      </c>
      <c r="E22" s="5" t="inlineStr">
        <is>
          <t>A</t>
        </is>
      </c>
      <c r="F22" s="5" t="inlineStr">
        <is>
          <t>X</t>
        </is>
      </c>
      <c r="G22" s="22" t="n">
        <v>20.2</v>
      </c>
      <c r="H22" s="23" t="n">
        <v>5.342</v>
      </c>
      <c r="I22" s="23" t="n">
        <v>4.047</v>
      </c>
      <c r="J22" s="24" t="n">
        <v>10.431</v>
      </c>
      <c r="K22" s="24" t="n">
        <v>1.544</v>
      </c>
      <c r="L22" s="25" t="n">
        <v>50</v>
      </c>
      <c r="M22" s="25" t="n">
        <v>127</v>
      </c>
      <c r="N22" s="25" t="n">
        <v>0</v>
      </c>
      <c r="O22" s="26">
        <f>INDEX(Assumptions!$B$13:$B$15,MATCH(E22,Assumptions!$A$13:$A$15,0))</f>
        <v/>
      </c>
      <c r="P22" s="27">
        <f>NORMSINV(O22)</f>
        <v/>
      </c>
      <c r="Q22" s="28">
        <f>ROUNDUP(P22*SQRT(J22*I22^2+H22^2*K22^2),0)</f>
        <v/>
      </c>
      <c r="R22" s="28">
        <f>ROUNDUP(H22*J22+Q22,0)</f>
        <v/>
      </c>
      <c r="S22" s="28">
        <f>IF(H22&gt;0,ROUNDUP(SQRT(2*H22*365*Assumptions!$B$5/(Assumptions!$B$6*G22)),0),0)</f>
        <v/>
      </c>
      <c r="T22" s="28">
        <f>MAX(S22,L22)</f>
        <v/>
      </c>
      <c r="U22" s="28">
        <f>M22+N22</f>
        <v/>
      </c>
      <c r="V22" s="28">
        <f>IF(H22&gt;0,M22/H22,999)</f>
        <v/>
      </c>
      <c r="W22" s="28">
        <f>MAX(0,U22-MAX(R22+T22,H22*Assumptions!$B$10))</f>
        <v/>
      </c>
      <c r="X22" s="29">
        <f>W22*G22</f>
        <v/>
      </c>
      <c r="Y22" s="28">
        <f>IF(U22&lt;=R22,"REORDER NOW",IF(W22&gt;0,"EXCESS - pause orders / promote","OK"))</f>
        <v/>
      </c>
      <c r="Z22" s="28">
        <f>IF(Y22="REORDER NOW",T22,0)</f>
        <v/>
      </c>
    </row>
    <row r="23">
      <c r="A23" s="5" t="inlineStr">
        <is>
          <t>P0044</t>
        </is>
      </c>
      <c r="B23" s="5" t="inlineStr">
        <is>
          <t>Home Item 044</t>
        </is>
      </c>
      <c r="C23" s="5" t="inlineStr">
        <is>
          <t>Home &amp; Kitchen</t>
        </is>
      </c>
      <c r="D23" s="5" t="inlineStr">
        <is>
          <t>S09</t>
        </is>
      </c>
      <c r="E23" s="5" t="inlineStr">
        <is>
          <t>A</t>
        </is>
      </c>
      <c r="F23" s="5" t="inlineStr">
        <is>
          <t>Y</t>
        </is>
      </c>
      <c r="G23" s="22" t="n">
        <v>65.63</v>
      </c>
      <c r="H23" s="23" t="n">
        <v>3.472</v>
      </c>
      <c r="I23" s="23" t="n">
        <v>2.635</v>
      </c>
      <c r="J23" s="24" t="n">
        <v>13.138</v>
      </c>
      <c r="K23" s="24" t="n">
        <v>3.817</v>
      </c>
      <c r="L23" s="25" t="n">
        <v>150</v>
      </c>
      <c r="M23" s="25" t="n">
        <v>243</v>
      </c>
      <c r="N23" s="25" t="n">
        <v>0</v>
      </c>
      <c r="O23" s="26">
        <f>INDEX(Assumptions!$B$13:$B$15,MATCH(E23,Assumptions!$A$13:$A$15,0))</f>
        <v/>
      </c>
      <c r="P23" s="27">
        <f>NORMSINV(O23)</f>
        <v/>
      </c>
      <c r="Q23" s="28">
        <f>ROUNDUP(P23*SQRT(J23*I23^2+H23^2*K23^2),0)</f>
        <v/>
      </c>
      <c r="R23" s="28">
        <f>ROUNDUP(H23*J23+Q23,0)</f>
        <v/>
      </c>
      <c r="S23" s="28">
        <f>IF(H23&gt;0,ROUNDUP(SQRT(2*H23*365*Assumptions!$B$5/(Assumptions!$B$6*G23)),0),0)</f>
        <v/>
      </c>
      <c r="T23" s="28">
        <f>MAX(S23,L23)</f>
        <v/>
      </c>
      <c r="U23" s="28">
        <f>M23+N23</f>
        <v/>
      </c>
      <c r="V23" s="28">
        <f>IF(H23&gt;0,M23/H23,999)</f>
        <v/>
      </c>
      <c r="W23" s="28">
        <f>MAX(0,U23-MAX(R23+T23,H23*Assumptions!$B$10))</f>
        <v/>
      </c>
      <c r="X23" s="29">
        <f>W23*G23</f>
        <v/>
      </c>
      <c r="Y23" s="28">
        <f>IF(U23&lt;=R23,"REORDER NOW",IF(W23&gt;0,"EXCESS - pause orders / promote","OK"))</f>
        <v/>
      </c>
      <c r="Z23" s="28">
        <f>IF(Y23="REORDER NOW",T23,0)</f>
        <v/>
      </c>
    </row>
    <row r="24">
      <c r="A24" s="5" t="inlineStr">
        <is>
          <t>P0052</t>
        </is>
      </c>
      <c r="B24" s="5" t="inlineStr">
        <is>
          <t>Home Item 052</t>
        </is>
      </c>
      <c r="C24" s="5" t="inlineStr">
        <is>
          <t>Home &amp; Kitchen</t>
        </is>
      </c>
      <c r="D24" s="5" t="inlineStr">
        <is>
          <t>S09</t>
        </is>
      </c>
      <c r="E24" s="5" t="inlineStr">
        <is>
          <t>A</t>
        </is>
      </c>
      <c r="F24" s="5" t="inlineStr">
        <is>
          <t>X</t>
        </is>
      </c>
      <c r="G24" s="22" t="n">
        <v>54.73</v>
      </c>
      <c r="H24" s="23" t="n">
        <v>2.955</v>
      </c>
      <c r="I24" s="23" t="n">
        <v>2.518</v>
      </c>
      <c r="J24" s="24" t="n">
        <v>13.138</v>
      </c>
      <c r="K24" s="24" t="n">
        <v>3.817</v>
      </c>
      <c r="L24" s="25" t="n">
        <v>150</v>
      </c>
      <c r="M24" s="25" t="n">
        <v>107</v>
      </c>
      <c r="N24" s="25" t="n">
        <v>0</v>
      </c>
      <c r="O24" s="26">
        <f>INDEX(Assumptions!$B$13:$B$15,MATCH(E24,Assumptions!$A$13:$A$15,0))</f>
        <v/>
      </c>
      <c r="P24" s="27">
        <f>NORMSINV(O24)</f>
        <v/>
      </c>
      <c r="Q24" s="28">
        <f>ROUNDUP(P24*SQRT(J24*I24^2+H24^2*K24^2),0)</f>
        <v/>
      </c>
      <c r="R24" s="28">
        <f>ROUNDUP(H24*J24+Q24,0)</f>
        <v/>
      </c>
      <c r="S24" s="28">
        <f>IF(H24&gt;0,ROUNDUP(SQRT(2*H24*365*Assumptions!$B$5/(Assumptions!$B$6*G24)),0),0)</f>
        <v/>
      </c>
      <c r="T24" s="28">
        <f>MAX(S24,L24)</f>
        <v/>
      </c>
      <c r="U24" s="28">
        <f>M24+N24</f>
        <v/>
      </c>
      <c r="V24" s="28">
        <f>IF(H24&gt;0,M24/H24,999)</f>
        <v/>
      </c>
      <c r="W24" s="28">
        <f>MAX(0,U24-MAX(R24+T24,H24*Assumptions!$B$10))</f>
        <v/>
      </c>
      <c r="X24" s="29">
        <f>W24*G24</f>
        <v/>
      </c>
      <c r="Y24" s="28">
        <f>IF(U24&lt;=R24,"REORDER NOW",IF(W24&gt;0,"EXCESS - pause orders / promote","OK"))</f>
        <v/>
      </c>
      <c r="Z24" s="28">
        <f>IF(Y24="REORDER NOW",T24,0)</f>
        <v/>
      </c>
    </row>
    <row r="25">
      <c r="A25" s="5" t="inlineStr">
        <is>
          <t>P0054</t>
        </is>
      </c>
      <c r="B25" s="5" t="inlineStr">
        <is>
          <t>Home Item 054</t>
        </is>
      </c>
      <c r="C25" s="5" t="inlineStr">
        <is>
          <t>Home &amp; Kitchen</t>
        </is>
      </c>
      <c r="D25" s="5" t="inlineStr">
        <is>
          <t>S01</t>
        </is>
      </c>
      <c r="E25" s="5" t="inlineStr">
        <is>
          <t>A</t>
        </is>
      </c>
      <c r="F25" s="5" t="inlineStr">
        <is>
          <t>X</t>
        </is>
      </c>
      <c r="G25" s="22" t="n">
        <v>42.93</v>
      </c>
      <c r="H25" s="23" t="n">
        <v>12.765</v>
      </c>
      <c r="I25" s="23" t="n">
        <v>5.255</v>
      </c>
      <c r="J25" s="24" t="n">
        <v>7.124</v>
      </c>
      <c r="K25" s="24" t="n">
        <v>1.029</v>
      </c>
      <c r="L25" s="25" t="n">
        <v>24</v>
      </c>
      <c r="M25" s="25" t="n">
        <v>902</v>
      </c>
      <c r="N25" s="25" t="n">
        <v>0</v>
      </c>
      <c r="O25" s="26">
        <f>INDEX(Assumptions!$B$13:$B$15,MATCH(E25,Assumptions!$A$13:$A$15,0))</f>
        <v/>
      </c>
      <c r="P25" s="27">
        <f>NORMSINV(O25)</f>
        <v/>
      </c>
      <c r="Q25" s="28">
        <f>ROUNDUP(P25*SQRT(J25*I25^2+H25^2*K25^2),0)</f>
        <v/>
      </c>
      <c r="R25" s="28">
        <f>ROUNDUP(H25*J25+Q25,0)</f>
        <v/>
      </c>
      <c r="S25" s="28">
        <f>IF(H25&gt;0,ROUNDUP(SQRT(2*H25*365*Assumptions!$B$5/(Assumptions!$B$6*G25)),0),0)</f>
        <v/>
      </c>
      <c r="T25" s="28">
        <f>MAX(S25,L25)</f>
        <v/>
      </c>
      <c r="U25" s="28">
        <f>M25+N25</f>
        <v/>
      </c>
      <c r="V25" s="28">
        <f>IF(H25&gt;0,M25/H25,999)</f>
        <v/>
      </c>
      <c r="W25" s="28">
        <f>MAX(0,U25-MAX(R25+T25,H25*Assumptions!$B$10))</f>
        <v/>
      </c>
      <c r="X25" s="29">
        <f>W25*G25</f>
        <v/>
      </c>
      <c r="Y25" s="28">
        <f>IF(U25&lt;=R25,"REORDER NOW",IF(W25&gt;0,"EXCESS - pause orders / promote","OK"))</f>
        <v/>
      </c>
      <c r="Z25" s="28">
        <f>IF(Y25="REORDER NOW",T25,0)</f>
        <v/>
      </c>
    </row>
    <row r="26">
      <c r="A26" s="5" t="inlineStr">
        <is>
          <t>P0056</t>
        </is>
      </c>
      <c r="B26" s="5" t="inlineStr">
        <is>
          <t>Outdoor Item 056</t>
        </is>
      </c>
      <c r="C26" s="5" t="inlineStr">
        <is>
          <t>Outdoor &amp; Garden</t>
        </is>
      </c>
      <c r="D26" s="5" t="inlineStr">
        <is>
          <t>S02</t>
        </is>
      </c>
      <c r="E26" s="5" t="inlineStr">
        <is>
          <t>A</t>
        </is>
      </c>
      <c r="F26" s="5" t="inlineStr">
        <is>
          <t>X</t>
        </is>
      </c>
      <c r="G26" s="22" t="n">
        <v>14.16</v>
      </c>
      <c r="H26" s="23" t="n">
        <v>15.967</v>
      </c>
      <c r="I26" s="23" t="n">
        <v>7.446</v>
      </c>
      <c r="J26" s="24" t="n">
        <v>10.431</v>
      </c>
      <c r="K26" s="24" t="n">
        <v>1.544</v>
      </c>
      <c r="L26" s="25" t="n">
        <v>50</v>
      </c>
      <c r="M26" s="25" t="n">
        <v>231</v>
      </c>
      <c r="N26" s="25" t="n">
        <v>500</v>
      </c>
      <c r="O26" s="26">
        <f>INDEX(Assumptions!$B$13:$B$15,MATCH(E26,Assumptions!$A$13:$A$15,0))</f>
        <v/>
      </c>
      <c r="P26" s="27">
        <f>NORMSINV(O26)</f>
        <v/>
      </c>
      <c r="Q26" s="28">
        <f>ROUNDUP(P26*SQRT(J26*I26^2+H26^2*K26^2),0)</f>
        <v/>
      </c>
      <c r="R26" s="28">
        <f>ROUNDUP(H26*J26+Q26,0)</f>
        <v/>
      </c>
      <c r="S26" s="28">
        <f>IF(H26&gt;0,ROUNDUP(SQRT(2*H26*365*Assumptions!$B$5/(Assumptions!$B$6*G26)),0),0)</f>
        <v/>
      </c>
      <c r="T26" s="28">
        <f>MAX(S26,L26)</f>
        <v/>
      </c>
      <c r="U26" s="28">
        <f>M26+N26</f>
        <v/>
      </c>
      <c r="V26" s="28">
        <f>IF(H26&gt;0,M26/H26,999)</f>
        <v/>
      </c>
      <c r="W26" s="28">
        <f>MAX(0,U26-MAX(R26+T26,H26*Assumptions!$B$10))</f>
        <v/>
      </c>
      <c r="X26" s="29">
        <f>W26*G26</f>
        <v/>
      </c>
      <c r="Y26" s="28">
        <f>IF(U26&lt;=R26,"REORDER NOW",IF(W26&gt;0,"EXCESS - pause orders / promote","OK"))</f>
        <v/>
      </c>
      <c r="Z26" s="28">
        <f>IF(Y26="REORDER NOW",T26,0)</f>
        <v/>
      </c>
    </row>
    <row r="27">
      <c r="A27" s="5" t="inlineStr">
        <is>
          <t>P0060</t>
        </is>
      </c>
      <c r="B27" s="5" t="inlineStr">
        <is>
          <t>Outdoor Item 060</t>
        </is>
      </c>
      <c r="C27" s="5" t="inlineStr">
        <is>
          <t>Outdoor &amp; Garden</t>
        </is>
      </c>
      <c r="D27" s="5" t="inlineStr">
        <is>
          <t>S02</t>
        </is>
      </c>
      <c r="E27" s="5" t="inlineStr">
        <is>
          <t>A</t>
        </is>
      </c>
      <c r="F27" s="5" t="inlineStr">
        <is>
          <t>Y</t>
        </is>
      </c>
      <c r="G27" s="22" t="n">
        <v>33.77</v>
      </c>
      <c r="H27" s="23" t="n">
        <v>1.021</v>
      </c>
      <c r="I27" s="23" t="n">
        <v>1.232</v>
      </c>
      <c r="J27" s="24" t="n">
        <v>10.431</v>
      </c>
      <c r="K27" s="24" t="n">
        <v>1.544</v>
      </c>
      <c r="L27" s="25" t="n">
        <v>50</v>
      </c>
      <c r="M27" s="25" t="n">
        <v>1515</v>
      </c>
      <c r="N27" s="25" t="n">
        <v>0</v>
      </c>
      <c r="O27" s="26">
        <f>INDEX(Assumptions!$B$13:$B$15,MATCH(E27,Assumptions!$A$13:$A$15,0))</f>
        <v/>
      </c>
      <c r="P27" s="27">
        <f>NORMSINV(O27)</f>
        <v/>
      </c>
      <c r="Q27" s="28">
        <f>ROUNDUP(P27*SQRT(J27*I27^2+H27^2*K27^2),0)</f>
        <v/>
      </c>
      <c r="R27" s="28">
        <f>ROUNDUP(H27*J27+Q27,0)</f>
        <v/>
      </c>
      <c r="S27" s="28">
        <f>IF(H27&gt;0,ROUNDUP(SQRT(2*H27*365*Assumptions!$B$5/(Assumptions!$B$6*G27)),0),0)</f>
        <v/>
      </c>
      <c r="T27" s="28">
        <f>MAX(S27,L27)</f>
        <v/>
      </c>
      <c r="U27" s="28">
        <f>M27+N27</f>
        <v/>
      </c>
      <c r="V27" s="28">
        <f>IF(H27&gt;0,M27/H27,999)</f>
        <v/>
      </c>
      <c r="W27" s="28">
        <f>MAX(0,U27-MAX(R27+T27,H27*Assumptions!$B$10))</f>
        <v/>
      </c>
      <c r="X27" s="29">
        <f>W27*G27</f>
        <v/>
      </c>
      <c r="Y27" s="28">
        <f>IF(U27&lt;=R27,"REORDER NOW",IF(W27&gt;0,"EXCESS - pause orders / promote","OK"))</f>
        <v/>
      </c>
      <c r="Z27" s="28">
        <f>IF(Y27="REORDER NOW",T27,0)</f>
        <v/>
      </c>
    </row>
    <row r="28">
      <c r="A28" s="5" t="inlineStr">
        <is>
          <t>P0064</t>
        </is>
      </c>
      <c r="B28" s="5" t="inlineStr">
        <is>
          <t>Outdoor Item 064</t>
        </is>
      </c>
      <c r="C28" s="5" t="inlineStr">
        <is>
          <t>Outdoor &amp; Garden</t>
        </is>
      </c>
      <c r="D28" s="5" t="inlineStr">
        <is>
          <t>S07</t>
        </is>
      </c>
      <c r="E28" s="5" t="inlineStr">
        <is>
          <t>A</t>
        </is>
      </c>
      <c r="F28" s="5" t="inlineStr">
        <is>
          <t>X</t>
        </is>
      </c>
      <c r="G28" s="22" t="n">
        <v>146.53</v>
      </c>
      <c r="H28" s="23" t="n">
        <v>2.685</v>
      </c>
      <c r="I28" s="23" t="n">
        <v>2.533</v>
      </c>
      <c r="J28" s="24" t="n">
        <v>14.688</v>
      </c>
      <c r="K28" s="24" t="n">
        <v>2.076</v>
      </c>
      <c r="L28" s="25" t="n">
        <v>100</v>
      </c>
      <c r="M28" s="25" t="n">
        <v>91</v>
      </c>
      <c r="N28" s="25" t="n">
        <v>0</v>
      </c>
      <c r="O28" s="26">
        <f>INDEX(Assumptions!$B$13:$B$15,MATCH(E28,Assumptions!$A$13:$A$15,0))</f>
        <v/>
      </c>
      <c r="P28" s="27">
        <f>NORMSINV(O28)</f>
        <v/>
      </c>
      <c r="Q28" s="28">
        <f>ROUNDUP(P28*SQRT(J28*I28^2+H28^2*K28^2),0)</f>
        <v/>
      </c>
      <c r="R28" s="28">
        <f>ROUNDUP(H28*J28+Q28,0)</f>
        <v/>
      </c>
      <c r="S28" s="28">
        <f>IF(H28&gt;0,ROUNDUP(SQRT(2*H28*365*Assumptions!$B$5/(Assumptions!$B$6*G28)),0),0)</f>
        <v/>
      </c>
      <c r="T28" s="28">
        <f>MAX(S28,L28)</f>
        <v/>
      </c>
      <c r="U28" s="28">
        <f>M28+N28</f>
        <v/>
      </c>
      <c r="V28" s="28">
        <f>IF(H28&gt;0,M28/H28,999)</f>
        <v/>
      </c>
      <c r="W28" s="28">
        <f>MAX(0,U28-MAX(R28+T28,H28*Assumptions!$B$10))</f>
        <v/>
      </c>
      <c r="X28" s="29">
        <f>W28*G28</f>
        <v/>
      </c>
      <c r="Y28" s="28">
        <f>IF(U28&lt;=R28,"REORDER NOW",IF(W28&gt;0,"EXCESS - pause orders / promote","OK"))</f>
        <v/>
      </c>
      <c r="Z28" s="28">
        <f>IF(Y28="REORDER NOW",T28,0)</f>
        <v/>
      </c>
    </row>
    <row r="29">
      <c r="A29" s="5" t="inlineStr">
        <is>
          <t>P0066</t>
        </is>
      </c>
      <c r="B29" s="5" t="inlineStr">
        <is>
          <t>Outdoor Item 066</t>
        </is>
      </c>
      <c r="C29" s="5" t="inlineStr">
        <is>
          <t>Outdoor &amp; Garden</t>
        </is>
      </c>
      <c r="D29" s="5" t="inlineStr">
        <is>
          <t>S02</t>
        </is>
      </c>
      <c r="E29" s="5" t="inlineStr">
        <is>
          <t>A</t>
        </is>
      </c>
      <c r="F29" s="5" t="inlineStr">
        <is>
          <t>X</t>
        </is>
      </c>
      <c r="G29" s="22" t="n">
        <v>13.9</v>
      </c>
      <c r="H29" s="23" t="n">
        <v>3.603</v>
      </c>
      <c r="I29" s="23" t="n">
        <v>2.78</v>
      </c>
      <c r="J29" s="24" t="n">
        <v>10.431</v>
      </c>
      <c r="K29" s="24" t="n">
        <v>1.544</v>
      </c>
      <c r="L29" s="25" t="n">
        <v>50</v>
      </c>
      <c r="M29" s="25" t="n">
        <v>61</v>
      </c>
      <c r="N29" s="25" t="n">
        <v>119</v>
      </c>
      <c r="O29" s="26">
        <f>INDEX(Assumptions!$B$13:$B$15,MATCH(E29,Assumptions!$A$13:$A$15,0))</f>
        <v/>
      </c>
      <c r="P29" s="27">
        <f>NORMSINV(O29)</f>
        <v/>
      </c>
      <c r="Q29" s="28">
        <f>ROUNDUP(P29*SQRT(J29*I29^2+H29^2*K29^2),0)</f>
        <v/>
      </c>
      <c r="R29" s="28">
        <f>ROUNDUP(H29*J29+Q29,0)</f>
        <v/>
      </c>
      <c r="S29" s="28">
        <f>IF(H29&gt;0,ROUNDUP(SQRT(2*H29*365*Assumptions!$B$5/(Assumptions!$B$6*G29)),0),0)</f>
        <v/>
      </c>
      <c r="T29" s="28">
        <f>MAX(S29,L29)</f>
        <v/>
      </c>
      <c r="U29" s="28">
        <f>M29+N29</f>
        <v/>
      </c>
      <c r="V29" s="28">
        <f>IF(H29&gt;0,M29/H29,999)</f>
        <v/>
      </c>
      <c r="W29" s="28">
        <f>MAX(0,U29-MAX(R29+T29,H29*Assumptions!$B$10))</f>
        <v/>
      </c>
      <c r="X29" s="29">
        <f>W29*G29</f>
        <v/>
      </c>
      <c r="Y29" s="28">
        <f>IF(U29&lt;=R29,"REORDER NOW",IF(W29&gt;0,"EXCESS - pause orders / promote","OK"))</f>
        <v/>
      </c>
      <c r="Z29" s="28">
        <f>IF(Y29="REORDER NOW",T29,0)</f>
        <v/>
      </c>
    </row>
    <row r="30">
      <c r="A30" s="5" t="inlineStr">
        <is>
          <t>P0067</t>
        </is>
      </c>
      <c r="B30" s="5" t="inlineStr">
        <is>
          <t>Outdoor Item 067</t>
        </is>
      </c>
      <c r="C30" s="5" t="inlineStr">
        <is>
          <t>Outdoor &amp; Garden</t>
        </is>
      </c>
      <c r="D30" s="5" t="inlineStr">
        <is>
          <t>S05</t>
        </is>
      </c>
      <c r="E30" s="5" t="inlineStr">
        <is>
          <t>A</t>
        </is>
      </c>
      <c r="F30" s="5" t="inlineStr">
        <is>
          <t>Y</t>
        </is>
      </c>
      <c r="G30" s="22" t="n">
        <v>37.72</v>
      </c>
      <c r="H30" s="23" t="n">
        <v>23.205</v>
      </c>
      <c r="I30" s="23" t="n">
        <v>9.265000000000001</v>
      </c>
      <c r="J30" s="24" t="n">
        <v>8.19</v>
      </c>
      <c r="K30" s="24" t="n">
        <v>1.086</v>
      </c>
      <c r="L30" s="25" t="n">
        <v>24</v>
      </c>
      <c r="M30" s="25" t="n">
        <v>226</v>
      </c>
      <c r="N30" s="25" t="n">
        <v>0</v>
      </c>
      <c r="O30" s="26">
        <f>INDEX(Assumptions!$B$13:$B$15,MATCH(E30,Assumptions!$A$13:$A$15,0))</f>
        <v/>
      </c>
      <c r="P30" s="27">
        <f>NORMSINV(O30)</f>
        <v/>
      </c>
      <c r="Q30" s="28">
        <f>ROUNDUP(P30*SQRT(J30*I30^2+H30^2*K30^2),0)</f>
        <v/>
      </c>
      <c r="R30" s="28">
        <f>ROUNDUP(H30*J30+Q30,0)</f>
        <v/>
      </c>
      <c r="S30" s="28">
        <f>IF(H30&gt;0,ROUNDUP(SQRT(2*H30*365*Assumptions!$B$5/(Assumptions!$B$6*G30)),0),0)</f>
        <v/>
      </c>
      <c r="T30" s="28">
        <f>MAX(S30,L30)</f>
        <v/>
      </c>
      <c r="U30" s="28">
        <f>M30+N30</f>
        <v/>
      </c>
      <c r="V30" s="28">
        <f>IF(H30&gt;0,M30/H30,999)</f>
        <v/>
      </c>
      <c r="W30" s="28">
        <f>MAX(0,U30-MAX(R30+T30,H30*Assumptions!$B$10))</f>
        <v/>
      </c>
      <c r="X30" s="29">
        <f>W30*G30</f>
        <v/>
      </c>
      <c r="Y30" s="28">
        <f>IF(U30&lt;=R30,"REORDER NOW",IF(W30&gt;0,"EXCESS - pause orders / promote","OK"))</f>
        <v/>
      </c>
      <c r="Z30" s="28">
        <f>IF(Y30="REORDER NOW",T30,0)</f>
        <v/>
      </c>
    </row>
    <row r="31">
      <c r="A31" s="5" t="inlineStr">
        <is>
          <t>P0069</t>
        </is>
      </c>
      <c r="B31" s="5" t="inlineStr">
        <is>
          <t>Outdoor Item 069</t>
        </is>
      </c>
      <c r="C31" s="5" t="inlineStr">
        <is>
          <t>Outdoor &amp; Garden</t>
        </is>
      </c>
      <c r="D31" s="5" t="inlineStr">
        <is>
          <t>S04</t>
        </is>
      </c>
      <c r="E31" s="5" t="inlineStr">
        <is>
          <t>A</t>
        </is>
      </c>
      <c r="F31" s="5" t="inlineStr">
        <is>
          <t>X</t>
        </is>
      </c>
      <c r="G31" s="22" t="n">
        <v>79.05</v>
      </c>
      <c r="H31" s="23" t="n">
        <v>1.105</v>
      </c>
      <c r="I31" s="23" t="n">
        <v>1.334</v>
      </c>
      <c r="J31" s="24" t="n">
        <v>39.643</v>
      </c>
      <c r="K31" s="24" t="n">
        <v>7.265</v>
      </c>
      <c r="L31" s="25" t="n">
        <v>200</v>
      </c>
      <c r="M31" s="25" t="n">
        <v>182</v>
      </c>
      <c r="N31" s="25" t="n">
        <v>0</v>
      </c>
      <c r="O31" s="26">
        <f>INDEX(Assumptions!$B$13:$B$15,MATCH(E31,Assumptions!$A$13:$A$15,0))</f>
        <v/>
      </c>
      <c r="P31" s="27">
        <f>NORMSINV(O31)</f>
        <v/>
      </c>
      <c r="Q31" s="28">
        <f>ROUNDUP(P31*SQRT(J31*I31^2+H31^2*K31^2),0)</f>
        <v/>
      </c>
      <c r="R31" s="28">
        <f>ROUNDUP(H31*J31+Q31,0)</f>
        <v/>
      </c>
      <c r="S31" s="28">
        <f>IF(H31&gt;0,ROUNDUP(SQRT(2*H31*365*Assumptions!$B$5/(Assumptions!$B$6*G31)),0),0)</f>
        <v/>
      </c>
      <c r="T31" s="28">
        <f>MAX(S31,L31)</f>
        <v/>
      </c>
      <c r="U31" s="28">
        <f>M31+N31</f>
        <v/>
      </c>
      <c r="V31" s="28">
        <f>IF(H31&gt;0,M31/H31,999)</f>
        <v/>
      </c>
      <c r="W31" s="28">
        <f>MAX(0,U31-MAX(R31+T31,H31*Assumptions!$B$10))</f>
        <v/>
      </c>
      <c r="X31" s="29">
        <f>W31*G31</f>
        <v/>
      </c>
      <c r="Y31" s="28">
        <f>IF(U31&lt;=R31,"REORDER NOW",IF(W31&gt;0,"EXCESS - pause orders / promote","OK"))</f>
        <v/>
      </c>
      <c r="Z31" s="28">
        <f>IF(Y31="REORDER NOW",T31,0)</f>
        <v/>
      </c>
    </row>
    <row r="32">
      <c r="A32" s="5" t="inlineStr">
        <is>
          <t>P0070</t>
        </is>
      </c>
      <c r="B32" s="5" t="inlineStr">
        <is>
          <t>Outdoor Item 070</t>
        </is>
      </c>
      <c r="C32" s="5" t="inlineStr">
        <is>
          <t>Outdoor &amp; Garden</t>
        </is>
      </c>
      <c r="D32" s="5" t="inlineStr">
        <is>
          <t>S06</t>
        </is>
      </c>
      <c r="E32" s="5" t="inlineStr">
        <is>
          <t>A</t>
        </is>
      </c>
      <c r="F32" s="5" t="inlineStr">
        <is>
          <t>X</t>
        </is>
      </c>
      <c r="G32" s="22" t="n">
        <v>40.41</v>
      </c>
      <c r="H32" s="23" t="n">
        <v>5.724</v>
      </c>
      <c r="I32" s="23" t="n">
        <v>4.257</v>
      </c>
      <c r="J32" s="24" t="n">
        <v>13.277</v>
      </c>
      <c r="K32" s="24" t="n">
        <v>2.821</v>
      </c>
      <c r="L32" s="25" t="n">
        <v>48</v>
      </c>
      <c r="M32" s="25" t="n">
        <v>32</v>
      </c>
      <c r="N32" s="25" t="n">
        <v>125</v>
      </c>
      <c r="O32" s="26">
        <f>INDEX(Assumptions!$B$13:$B$15,MATCH(E32,Assumptions!$A$13:$A$15,0))</f>
        <v/>
      </c>
      <c r="P32" s="27">
        <f>NORMSINV(O32)</f>
        <v/>
      </c>
      <c r="Q32" s="28">
        <f>ROUNDUP(P32*SQRT(J32*I32^2+H32^2*K32^2),0)</f>
        <v/>
      </c>
      <c r="R32" s="28">
        <f>ROUNDUP(H32*J32+Q32,0)</f>
        <v/>
      </c>
      <c r="S32" s="28">
        <f>IF(H32&gt;0,ROUNDUP(SQRT(2*H32*365*Assumptions!$B$5/(Assumptions!$B$6*G32)),0),0)</f>
        <v/>
      </c>
      <c r="T32" s="28">
        <f>MAX(S32,L32)</f>
        <v/>
      </c>
      <c r="U32" s="28">
        <f>M32+N32</f>
        <v/>
      </c>
      <c r="V32" s="28">
        <f>IF(H32&gt;0,M32/H32,999)</f>
        <v/>
      </c>
      <c r="W32" s="28">
        <f>MAX(0,U32-MAX(R32+T32,H32*Assumptions!$B$10))</f>
        <v/>
      </c>
      <c r="X32" s="29">
        <f>W32*G32</f>
        <v/>
      </c>
      <c r="Y32" s="28">
        <f>IF(U32&lt;=R32,"REORDER NOW",IF(W32&gt;0,"EXCESS - pause orders / promote","OK"))</f>
        <v/>
      </c>
      <c r="Z32" s="28">
        <f>IF(Y32="REORDER NOW",T32,0)</f>
        <v/>
      </c>
    </row>
    <row r="33">
      <c r="A33" s="5" t="inlineStr">
        <is>
          <t>P0073</t>
        </is>
      </c>
      <c r="B33" s="5" t="inlineStr">
        <is>
          <t>Outdoor Item 073</t>
        </is>
      </c>
      <c r="C33" s="5" t="inlineStr">
        <is>
          <t>Outdoor &amp; Garden</t>
        </is>
      </c>
      <c r="D33" s="5" t="inlineStr">
        <is>
          <t>S10</t>
        </is>
      </c>
      <c r="E33" s="5" t="inlineStr">
        <is>
          <t>A</t>
        </is>
      </c>
      <c r="F33" s="5" t="inlineStr">
        <is>
          <t>Y</t>
        </is>
      </c>
      <c r="G33" s="22" t="n">
        <v>15.36</v>
      </c>
      <c r="H33" s="23" t="n">
        <v>8.305999999999999</v>
      </c>
      <c r="I33" s="23" t="n">
        <v>4.125</v>
      </c>
      <c r="J33" s="24" t="n">
        <v>21.86</v>
      </c>
      <c r="K33" s="24" t="n">
        <v>2.931</v>
      </c>
      <c r="L33" s="25" t="n">
        <v>120</v>
      </c>
      <c r="M33" s="25" t="n">
        <v>45</v>
      </c>
      <c r="N33" s="25" t="n">
        <v>675</v>
      </c>
      <c r="O33" s="26">
        <f>INDEX(Assumptions!$B$13:$B$15,MATCH(E33,Assumptions!$A$13:$A$15,0))</f>
        <v/>
      </c>
      <c r="P33" s="27">
        <f>NORMSINV(O33)</f>
        <v/>
      </c>
      <c r="Q33" s="28">
        <f>ROUNDUP(P33*SQRT(J33*I33^2+H33^2*K33^2),0)</f>
        <v/>
      </c>
      <c r="R33" s="28">
        <f>ROUNDUP(H33*J33+Q33,0)</f>
        <v/>
      </c>
      <c r="S33" s="28">
        <f>IF(H33&gt;0,ROUNDUP(SQRT(2*H33*365*Assumptions!$B$5/(Assumptions!$B$6*G33)),0),0)</f>
        <v/>
      </c>
      <c r="T33" s="28">
        <f>MAX(S33,L33)</f>
        <v/>
      </c>
      <c r="U33" s="28">
        <f>M33+N33</f>
        <v/>
      </c>
      <c r="V33" s="28">
        <f>IF(H33&gt;0,M33/H33,999)</f>
        <v/>
      </c>
      <c r="W33" s="28">
        <f>MAX(0,U33-MAX(R33+T33,H33*Assumptions!$B$10))</f>
        <v/>
      </c>
      <c r="X33" s="29">
        <f>W33*G33</f>
        <v/>
      </c>
      <c r="Y33" s="28">
        <f>IF(U33&lt;=R33,"REORDER NOW",IF(W33&gt;0,"EXCESS - pause orders / promote","OK"))</f>
        <v/>
      </c>
      <c r="Z33" s="28">
        <f>IF(Y33="REORDER NOW",T33,0)</f>
        <v/>
      </c>
    </row>
    <row r="34">
      <c r="A34" s="5" t="inlineStr">
        <is>
          <t>P0085</t>
        </is>
      </c>
      <c r="B34" s="5" t="inlineStr">
        <is>
          <t>Office Item 085</t>
        </is>
      </c>
      <c r="C34" s="5" t="inlineStr">
        <is>
          <t>Office Supplies</t>
        </is>
      </c>
      <c r="D34" s="5" t="inlineStr">
        <is>
          <t>S07</t>
        </is>
      </c>
      <c r="E34" s="5" t="inlineStr">
        <is>
          <t>A</t>
        </is>
      </c>
      <c r="F34" s="5" t="inlineStr">
        <is>
          <t>X</t>
        </is>
      </c>
      <c r="G34" s="22" t="n">
        <v>28.75</v>
      </c>
      <c r="H34" s="23" t="n">
        <v>6.111</v>
      </c>
      <c r="I34" s="23" t="n">
        <v>2.134</v>
      </c>
      <c r="J34" s="24" t="n">
        <v>14.688</v>
      </c>
      <c r="K34" s="24" t="n">
        <v>2.076</v>
      </c>
      <c r="L34" s="25" t="n">
        <v>100</v>
      </c>
      <c r="M34" s="25" t="n">
        <v>66</v>
      </c>
      <c r="N34" s="25" t="n">
        <v>0</v>
      </c>
      <c r="O34" s="26">
        <f>INDEX(Assumptions!$B$13:$B$15,MATCH(E34,Assumptions!$A$13:$A$15,0))</f>
        <v/>
      </c>
      <c r="P34" s="27">
        <f>NORMSINV(O34)</f>
        <v/>
      </c>
      <c r="Q34" s="28">
        <f>ROUNDUP(P34*SQRT(J34*I34^2+H34^2*K34^2),0)</f>
        <v/>
      </c>
      <c r="R34" s="28">
        <f>ROUNDUP(H34*J34+Q34,0)</f>
        <v/>
      </c>
      <c r="S34" s="28">
        <f>IF(H34&gt;0,ROUNDUP(SQRT(2*H34*365*Assumptions!$B$5/(Assumptions!$B$6*G34)),0),0)</f>
        <v/>
      </c>
      <c r="T34" s="28">
        <f>MAX(S34,L34)</f>
        <v/>
      </c>
      <c r="U34" s="28">
        <f>M34+N34</f>
        <v/>
      </c>
      <c r="V34" s="28">
        <f>IF(H34&gt;0,M34/H34,999)</f>
        <v/>
      </c>
      <c r="W34" s="28">
        <f>MAX(0,U34-MAX(R34+T34,H34*Assumptions!$B$10))</f>
        <v/>
      </c>
      <c r="X34" s="29">
        <f>W34*G34</f>
        <v/>
      </c>
      <c r="Y34" s="28">
        <f>IF(U34&lt;=R34,"REORDER NOW",IF(W34&gt;0,"EXCESS - pause orders / promote","OK"))</f>
        <v/>
      </c>
      <c r="Z34" s="28">
        <f>IF(Y34="REORDER NOW",T34,0)</f>
        <v/>
      </c>
    </row>
    <row r="35">
      <c r="A35" s="5" t="inlineStr">
        <is>
          <t>P0111</t>
        </is>
      </c>
      <c r="B35" s="5" t="inlineStr">
        <is>
          <t>Health Item 111</t>
        </is>
      </c>
      <c r="C35" s="5" t="inlineStr">
        <is>
          <t>Health &amp; Safety</t>
        </is>
      </c>
      <c r="D35" s="5" t="inlineStr">
        <is>
          <t>S09</t>
        </is>
      </c>
      <c r="E35" s="5" t="inlineStr">
        <is>
          <t>A</t>
        </is>
      </c>
      <c r="F35" s="5" t="inlineStr">
        <is>
          <t>X</t>
        </is>
      </c>
      <c r="G35" s="22" t="n">
        <v>57.14</v>
      </c>
      <c r="H35" s="23" t="n">
        <v>5.421</v>
      </c>
      <c r="I35" s="23" t="n">
        <v>2.402</v>
      </c>
      <c r="J35" s="24" t="n">
        <v>13.138</v>
      </c>
      <c r="K35" s="24" t="n">
        <v>3.817</v>
      </c>
      <c r="L35" s="25" t="n">
        <v>150</v>
      </c>
      <c r="M35" s="25" t="n">
        <v>47</v>
      </c>
      <c r="N35" s="25" t="n">
        <v>0</v>
      </c>
      <c r="O35" s="26">
        <f>INDEX(Assumptions!$B$13:$B$15,MATCH(E35,Assumptions!$A$13:$A$15,0))</f>
        <v/>
      </c>
      <c r="P35" s="27">
        <f>NORMSINV(O35)</f>
        <v/>
      </c>
      <c r="Q35" s="28">
        <f>ROUNDUP(P35*SQRT(J35*I35^2+H35^2*K35^2),0)</f>
        <v/>
      </c>
      <c r="R35" s="28">
        <f>ROUNDUP(H35*J35+Q35,0)</f>
        <v/>
      </c>
      <c r="S35" s="28">
        <f>IF(H35&gt;0,ROUNDUP(SQRT(2*H35*365*Assumptions!$B$5/(Assumptions!$B$6*G35)),0),0)</f>
        <v/>
      </c>
      <c r="T35" s="28">
        <f>MAX(S35,L35)</f>
        <v/>
      </c>
      <c r="U35" s="28">
        <f>M35+N35</f>
        <v/>
      </c>
      <c r="V35" s="28">
        <f>IF(H35&gt;0,M35/H35,999)</f>
        <v/>
      </c>
      <c r="W35" s="28">
        <f>MAX(0,U35-MAX(R35+T35,H35*Assumptions!$B$10))</f>
        <v/>
      </c>
      <c r="X35" s="29">
        <f>W35*G35</f>
        <v/>
      </c>
      <c r="Y35" s="28">
        <f>IF(U35&lt;=R35,"REORDER NOW",IF(W35&gt;0,"EXCESS - pause orders / promote","OK"))</f>
        <v/>
      </c>
      <c r="Z35" s="28">
        <f>IF(Y35="REORDER NOW",T35,0)</f>
        <v/>
      </c>
    </row>
    <row r="36">
      <c r="A36" s="5" t="inlineStr">
        <is>
          <t>P0116</t>
        </is>
      </c>
      <c r="B36" s="5" t="inlineStr">
        <is>
          <t>Health Item 116</t>
        </is>
      </c>
      <c r="C36" s="5" t="inlineStr">
        <is>
          <t>Health &amp; Safety</t>
        </is>
      </c>
      <c r="D36" s="5" t="inlineStr">
        <is>
          <t>S10</t>
        </is>
      </c>
      <c r="E36" s="5" t="inlineStr">
        <is>
          <t>A</t>
        </is>
      </c>
      <c r="F36" s="5" t="inlineStr">
        <is>
          <t>X</t>
        </is>
      </c>
      <c r="G36" s="22" t="n">
        <v>44.66</v>
      </c>
      <c r="H36" s="23" t="n">
        <v>7.614</v>
      </c>
      <c r="I36" s="23" t="n">
        <v>3.061</v>
      </c>
      <c r="J36" s="24" t="n">
        <v>21.86</v>
      </c>
      <c r="K36" s="24" t="n">
        <v>2.931</v>
      </c>
      <c r="L36" s="25" t="n">
        <v>120</v>
      </c>
      <c r="M36" s="25" t="n">
        <v>78</v>
      </c>
      <c r="N36" s="25" t="n">
        <v>288</v>
      </c>
      <c r="O36" s="26">
        <f>INDEX(Assumptions!$B$13:$B$15,MATCH(E36,Assumptions!$A$13:$A$15,0))</f>
        <v/>
      </c>
      <c r="P36" s="27">
        <f>NORMSINV(O36)</f>
        <v/>
      </c>
      <c r="Q36" s="28">
        <f>ROUNDUP(P36*SQRT(J36*I36^2+H36^2*K36^2),0)</f>
        <v/>
      </c>
      <c r="R36" s="28">
        <f>ROUNDUP(H36*J36+Q36,0)</f>
        <v/>
      </c>
      <c r="S36" s="28">
        <f>IF(H36&gt;0,ROUNDUP(SQRT(2*H36*365*Assumptions!$B$5/(Assumptions!$B$6*G36)),0),0)</f>
        <v/>
      </c>
      <c r="T36" s="28">
        <f>MAX(S36,L36)</f>
        <v/>
      </c>
      <c r="U36" s="28">
        <f>M36+N36</f>
        <v/>
      </c>
      <c r="V36" s="28">
        <f>IF(H36&gt;0,M36/H36,999)</f>
        <v/>
      </c>
      <c r="W36" s="28">
        <f>MAX(0,U36-MAX(R36+T36,H36*Assumptions!$B$10))</f>
        <v/>
      </c>
      <c r="X36" s="29">
        <f>W36*G36</f>
        <v/>
      </c>
      <c r="Y36" s="28">
        <f>IF(U36&lt;=R36,"REORDER NOW",IF(W36&gt;0,"EXCESS - pause orders / promote","OK"))</f>
        <v/>
      </c>
      <c r="Z36" s="28">
        <f>IF(Y36="REORDER NOW",T36,0)</f>
        <v/>
      </c>
    </row>
    <row r="37">
      <c r="A37" s="5" t="inlineStr">
        <is>
          <t>P0123</t>
        </is>
      </c>
      <c r="B37" s="5" t="inlineStr">
        <is>
          <t>Health Item 123</t>
        </is>
      </c>
      <c r="C37" s="5" t="inlineStr">
        <is>
          <t>Health &amp; Safety</t>
        </is>
      </c>
      <c r="D37" s="5" t="inlineStr">
        <is>
          <t>S09</t>
        </is>
      </c>
      <c r="E37" s="5" t="inlineStr">
        <is>
          <t>A</t>
        </is>
      </c>
      <c r="F37" s="5" t="inlineStr">
        <is>
          <t>X</t>
        </is>
      </c>
      <c r="G37" s="22" t="n">
        <v>26.22</v>
      </c>
      <c r="H37" s="23" t="n">
        <v>14.223</v>
      </c>
      <c r="I37" s="23" t="n">
        <v>4.156</v>
      </c>
      <c r="J37" s="24" t="n">
        <v>13.138</v>
      </c>
      <c r="K37" s="24" t="n">
        <v>3.817</v>
      </c>
      <c r="L37" s="25" t="n">
        <v>150</v>
      </c>
      <c r="M37" s="25" t="n">
        <v>219</v>
      </c>
      <c r="N37" s="25" t="n">
        <v>264</v>
      </c>
      <c r="O37" s="26">
        <f>INDEX(Assumptions!$B$13:$B$15,MATCH(E37,Assumptions!$A$13:$A$15,0))</f>
        <v/>
      </c>
      <c r="P37" s="27">
        <f>NORMSINV(O37)</f>
        <v/>
      </c>
      <c r="Q37" s="28">
        <f>ROUNDUP(P37*SQRT(J37*I37^2+H37^2*K37^2),0)</f>
        <v/>
      </c>
      <c r="R37" s="28">
        <f>ROUNDUP(H37*J37+Q37,0)</f>
        <v/>
      </c>
      <c r="S37" s="28">
        <f>IF(H37&gt;0,ROUNDUP(SQRT(2*H37*365*Assumptions!$B$5/(Assumptions!$B$6*G37)),0),0)</f>
        <v/>
      </c>
      <c r="T37" s="28">
        <f>MAX(S37,L37)</f>
        <v/>
      </c>
      <c r="U37" s="28">
        <f>M37+N37</f>
        <v/>
      </c>
      <c r="V37" s="28">
        <f>IF(H37&gt;0,M37/H37,999)</f>
        <v/>
      </c>
      <c r="W37" s="28">
        <f>MAX(0,U37-MAX(R37+T37,H37*Assumptions!$B$10))</f>
        <v/>
      </c>
      <c r="X37" s="29">
        <f>W37*G37</f>
        <v/>
      </c>
      <c r="Y37" s="28">
        <f>IF(U37&lt;=R37,"REORDER NOW",IF(W37&gt;0,"EXCESS - pause orders / promote","OK"))</f>
        <v/>
      </c>
      <c r="Z37" s="28">
        <f>IF(Y37="REORDER NOW",T37,0)</f>
        <v/>
      </c>
    </row>
    <row r="38">
      <c r="A38" s="5" t="inlineStr">
        <is>
          <t>P0126</t>
        </is>
      </c>
      <c r="B38" s="5" t="inlineStr">
        <is>
          <t>Health Item 126</t>
        </is>
      </c>
      <c r="C38" s="5" t="inlineStr">
        <is>
          <t>Health &amp; Safety</t>
        </is>
      </c>
      <c r="D38" s="5" t="inlineStr">
        <is>
          <t>S07</t>
        </is>
      </c>
      <c r="E38" s="5" t="inlineStr">
        <is>
          <t>A</t>
        </is>
      </c>
      <c r="F38" s="5" t="inlineStr">
        <is>
          <t>X</t>
        </is>
      </c>
      <c r="G38" s="22" t="n">
        <v>44.15</v>
      </c>
      <c r="H38" s="23" t="n">
        <v>6.91</v>
      </c>
      <c r="I38" s="23" t="n">
        <v>1.993</v>
      </c>
      <c r="J38" s="24" t="n">
        <v>14.688</v>
      </c>
      <c r="K38" s="24" t="n">
        <v>2.076</v>
      </c>
      <c r="L38" s="25" t="n">
        <v>100</v>
      </c>
      <c r="M38" s="25" t="n">
        <v>187</v>
      </c>
      <c r="N38" s="25" t="n">
        <v>0</v>
      </c>
      <c r="O38" s="26">
        <f>INDEX(Assumptions!$B$13:$B$15,MATCH(E38,Assumptions!$A$13:$A$15,0))</f>
        <v/>
      </c>
      <c r="P38" s="27">
        <f>NORMSINV(O38)</f>
        <v/>
      </c>
      <c r="Q38" s="28">
        <f>ROUNDUP(P38*SQRT(J38*I38^2+H38^2*K38^2),0)</f>
        <v/>
      </c>
      <c r="R38" s="28">
        <f>ROUNDUP(H38*J38+Q38,0)</f>
        <v/>
      </c>
      <c r="S38" s="28">
        <f>IF(H38&gt;0,ROUNDUP(SQRT(2*H38*365*Assumptions!$B$5/(Assumptions!$B$6*G38)),0),0)</f>
        <v/>
      </c>
      <c r="T38" s="28">
        <f>MAX(S38,L38)</f>
        <v/>
      </c>
      <c r="U38" s="28">
        <f>M38+N38</f>
        <v/>
      </c>
      <c r="V38" s="28">
        <f>IF(H38&gt;0,M38/H38,999)</f>
        <v/>
      </c>
      <c r="W38" s="28">
        <f>MAX(0,U38-MAX(R38+T38,H38*Assumptions!$B$10))</f>
        <v/>
      </c>
      <c r="X38" s="29">
        <f>W38*G38</f>
        <v/>
      </c>
      <c r="Y38" s="28">
        <f>IF(U38&lt;=R38,"REORDER NOW",IF(W38&gt;0,"EXCESS - pause orders / promote","OK"))</f>
        <v/>
      </c>
      <c r="Z38" s="28">
        <f>IF(Y38="REORDER NOW",T38,0)</f>
        <v/>
      </c>
    </row>
    <row r="39">
      <c r="A39" s="5" t="inlineStr">
        <is>
          <t>P0141</t>
        </is>
      </c>
      <c r="B39" s="5" t="inlineStr">
        <is>
          <t>Packaging Item 141</t>
        </is>
      </c>
      <c r="C39" s="5" t="inlineStr">
        <is>
          <t>Packaging</t>
        </is>
      </c>
      <c r="D39" s="5" t="inlineStr">
        <is>
          <t>S04</t>
        </is>
      </c>
      <c r="E39" s="5" t="inlineStr">
        <is>
          <t>A</t>
        </is>
      </c>
      <c r="F39" s="5" t="inlineStr">
        <is>
          <t>X</t>
        </is>
      </c>
      <c r="G39" s="22" t="n">
        <v>8.48</v>
      </c>
      <c r="H39" s="23" t="n">
        <v>20.924</v>
      </c>
      <c r="I39" s="23" t="n">
        <v>5.272</v>
      </c>
      <c r="J39" s="24" t="n">
        <v>39.643</v>
      </c>
      <c r="K39" s="24" t="n">
        <v>7.265</v>
      </c>
      <c r="L39" s="25" t="n">
        <v>200</v>
      </c>
      <c r="M39" s="25" t="n">
        <v>516</v>
      </c>
      <c r="N39" s="25" t="n">
        <v>580</v>
      </c>
      <c r="O39" s="26">
        <f>INDEX(Assumptions!$B$13:$B$15,MATCH(E39,Assumptions!$A$13:$A$15,0))</f>
        <v/>
      </c>
      <c r="P39" s="27">
        <f>NORMSINV(O39)</f>
        <v/>
      </c>
      <c r="Q39" s="28">
        <f>ROUNDUP(P39*SQRT(J39*I39^2+H39^2*K39^2),0)</f>
        <v/>
      </c>
      <c r="R39" s="28">
        <f>ROUNDUP(H39*J39+Q39,0)</f>
        <v/>
      </c>
      <c r="S39" s="28">
        <f>IF(H39&gt;0,ROUNDUP(SQRT(2*H39*365*Assumptions!$B$5/(Assumptions!$B$6*G39)),0),0)</f>
        <v/>
      </c>
      <c r="T39" s="28">
        <f>MAX(S39,L39)</f>
        <v/>
      </c>
      <c r="U39" s="28">
        <f>M39+N39</f>
        <v/>
      </c>
      <c r="V39" s="28">
        <f>IF(H39&gt;0,M39/H39,999)</f>
        <v/>
      </c>
      <c r="W39" s="28">
        <f>MAX(0,U39-MAX(R39+T39,H39*Assumptions!$B$10))</f>
        <v/>
      </c>
      <c r="X39" s="29">
        <f>W39*G39</f>
        <v/>
      </c>
      <c r="Y39" s="28">
        <f>IF(U39&lt;=R39,"REORDER NOW",IF(W39&gt;0,"EXCESS - pause orders / promote","OK"))</f>
        <v/>
      </c>
      <c r="Z39" s="28">
        <f>IF(Y39="REORDER NOW",T39,0)</f>
        <v/>
      </c>
    </row>
    <row r="40">
      <c r="A40" s="5" t="inlineStr">
        <is>
          <t>P0144</t>
        </is>
      </c>
      <c r="B40" s="5" t="inlineStr">
        <is>
          <t>Packaging Item 144</t>
        </is>
      </c>
      <c r="C40" s="5" t="inlineStr">
        <is>
          <t>Packaging</t>
        </is>
      </c>
      <c r="D40" s="5" t="inlineStr">
        <is>
          <t>S10</t>
        </is>
      </c>
      <c r="E40" s="5" t="inlineStr">
        <is>
          <t>A</t>
        </is>
      </c>
      <c r="F40" s="5" t="inlineStr">
        <is>
          <t>X</t>
        </is>
      </c>
      <c r="G40" s="22" t="n">
        <v>5.02</v>
      </c>
      <c r="H40" s="23" t="n">
        <v>41.828</v>
      </c>
      <c r="I40" s="23" t="n">
        <v>8.209</v>
      </c>
      <c r="J40" s="24" t="n">
        <v>21.86</v>
      </c>
      <c r="K40" s="24" t="n">
        <v>2.931</v>
      </c>
      <c r="L40" s="25" t="n">
        <v>120</v>
      </c>
      <c r="M40" s="25" t="n">
        <v>639</v>
      </c>
      <c r="N40" s="25" t="n">
        <v>0</v>
      </c>
      <c r="O40" s="26">
        <f>INDEX(Assumptions!$B$13:$B$15,MATCH(E40,Assumptions!$A$13:$A$15,0))</f>
        <v/>
      </c>
      <c r="P40" s="27">
        <f>NORMSINV(O40)</f>
        <v/>
      </c>
      <c r="Q40" s="28">
        <f>ROUNDUP(P40*SQRT(J40*I40^2+H40^2*K40^2),0)</f>
        <v/>
      </c>
      <c r="R40" s="28">
        <f>ROUNDUP(H40*J40+Q40,0)</f>
        <v/>
      </c>
      <c r="S40" s="28">
        <f>IF(H40&gt;0,ROUNDUP(SQRT(2*H40*365*Assumptions!$B$5/(Assumptions!$B$6*G40)),0),0)</f>
        <v/>
      </c>
      <c r="T40" s="28">
        <f>MAX(S40,L40)</f>
        <v/>
      </c>
      <c r="U40" s="28">
        <f>M40+N40</f>
        <v/>
      </c>
      <c r="V40" s="28">
        <f>IF(H40&gt;0,M40/H40,999)</f>
        <v/>
      </c>
      <c r="W40" s="28">
        <f>MAX(0,U40-MAX(R40+T40,H40*Assumptions!$B$10))</f>
        <v/>
      </c>
      <c r="X40" s="29">
        <f>W40*G40</f>
        <v/>
      </c>
      <c r="Y40" s="28">
        <f>IF(U40&lt;=R40,"REORDER NOW",IF(W40&gt;0,"EXCESS - pause orders / promote","OK"))</f>
        <v/>
      </c>
      <c r="Z40" s="28">
        <f>IF(Y40="REORDER NOW",T40,0)</f>
        <v/>
      </c>
    </row>
    <row r="41">
      <c r="A41" s="5" t="inlineStr">
        <is>
          <t>P0005</t>
        </is>
      </c>
      <c r="B41" s="5" t="inlineStr">
        <is>
          <t>Electronics Item 005</t>
        </is>
      </c>
      <c r="C41" s="5" t="inlineStr">
        <is>
          <t>Electronics</t>
        </is>
      </c>
      <c r="D41" s="5" t="inlineStr">
        <is>
          <t>S09</t>
        </is>
      </c>
      <c r="E41" s="5" t="inlineStr">
        <is>
          <t>B</t>
        </is>
      </c>
      <c r="F41" s="5" t="inlineStr">
        <is>
          <t>Y</t>
        </is>
      </c>
      <c r="G41" s="22" t="n">
        <v>75.70999999999999</v>
      </c>
      <c r="H41" s="23" t="n">
        <v>0.63</v>
      </c>
      <c r="I41" s="23" t="n">
        <v>1.006</v>
      </c>
      <c r="J41" s="24" t="n">
        <v>13.138</v>
      </c>
      <c r="K41" s="24" t="n">
        <v>3.817</v>
      </c>
      <c r="L41" s="25" t="n">
        <v>150</v>
      </c>
      <c r="M41" s="25" t="n">
        <v>34</v>
      </c>
      <c r="N41" s="25" t="n">
        <v>0</v>
      </c>
      <c r="O41" s="26">
        <f>INDEX(Assumptions!$B$13:$B$15,MATCH(E41,Assumptions!$A$13:$A$15,0))</f>
        <v/>
      </c>
      <c r="P41" s="27">
        <f>NORMSINV(O41)</f>
        <v/>
      </c>
      <c r="Q41" s="28">
        <f>ROUNDUP(P41*SQRT(J41*I41^2+H41^2*K41^2),0)</f>
        <v/>
      </c>
      <c r="R41" s="28">
        <f>ROUNDUP(H41*J41+Q41,0)</f>
        <v/>
      </c>
      <c r="S41" s="28">
        <f>IF(H41&gt;0,ROUNDUP(SQRT(2*H41*365*Assumptions!$B$5/(Assumptions!$B$6*G41)),0),0)</f>
        <v/>
      </c>
      <c r="T41" s="28">
        <f>MAX(S41,L41)</f>
        <v/>
      </c>
      <c r="U41" s="28">
        <f>M41+N41</f>
        <v/>
      </c>
      <c r="V41" s="28">
        <f>IF(H41&gt;0,M41/H41,999)</f>
        <v/>
      </c>
      <c r="W41" s="28">
        <f>MAX(0,U41-MAX(R41+T41,H41*Assumptions!$B$10))</f>
        <v/>
      </c>
      <c r="X41" s="29">
        <f>W41*G41</f>
        <v/>
      </c>
      <c r="Y41" s="28">
        <f>IF(U41&lt;=R41,"REORDER NOW",IF(W41&gt;0,"EXCESS - pause orders / promote","OK"))</f>
        <v/>
      </c>
      <c r="Z41" s="28">
        <f>IF(Y41="REORDER NOW",T41,0)</f>
        <v/>
      </c>
    </row>
    <row r="42">
      <c r="A42" s="5" t="inlineStr">
        <is>
          <t>P0009</t>
        </is>
      </c>
      <c r="B42" s="5" t="inlineStr">
        <is>
          <t>Electronics Item 009</t>
        </is>
      </c>
      <c r="C42" s="5" t="inlineStr">
        <is>
          <t>Electronics</t>
        </is>
      </c>
      <c r="D42" s="5" t="inlineStr">
        <is>
          <t>S04</t>
        </is>
      </c>
      <c r="E42" s="5" t="inlineStr">
        <is>
          <t>B</t>
        </is>
      </c>
      <c r="F42" s="5" t="inlineStr">
        <is>
          <t>X</t>
        </is>
      </c>
      <c r="G42" s="22" t="n">
        <v>31.1</v>
      </c>
      <c r="H42" s="23" t="n">
        <v>1.742</v>
      </c>
      <c r="I42" s="23" t="n">
        <v>1.684</v>
      </c>
      <c r="J42" s="24" t="n">
        <v>39.643</v>
      </c>
      <c r="K42" s="24" t="n">
        <v>7.265</v>
      </c>
      <c r="L42" s="25" t="n">
        <v>200</v>
      </c>
      <c r="M42" s="25" t="n">
        <v>0</v>
      </c>
      <c r="N42" s="25" t="n">
        <v>200</v>
      </c>
      <c r="O42" s="26">
        <f>INDEX(Assumptions!$B$13:$B$15,MATCH(E42,Assumptions!$A$13:$A$15,0))</f>
        <v/>
      </c>
      <c r="P42" s="27">
        <f>NORMSINV(O42)</f>
        <v/>
      </c>
      <c r="Q42" s="28">
        <f>ROUNDUP(P42*SQRT(J42*I42^2+H42^2*K42^2),0)</f>
        <v/>
      </c>
      <c r="R42" s="28">
        <f>ROUNDUP(H42*J42+Q42,0)</f>
        <v/>
      </c>
      <c r="S42" s="28">
        <f>IF(H42&gt;0,ROUNDUP(SQRT(2*H42*365*Assumptions!$B$5/(Assumptions!$B$6*G42)),0),0)</f>
        <v/>
      </c>
      <c r="T42" s="28">
        <f>MAX(S42,L42)</f>
        <v/>
      </c>
      <c r="U42" s="28">
        <f>M42+N42</f>
        <v/>
      </c>
      <c r="V42" s="28">
        <f>IF(H42&gt;0,M42/H42,999)</f>
        <v/>
      </c>
      <c r="W42" s="28">
        <f>MAX(0,U42-MAX(R42+T42,H42*Assumptions!$B$10))</f>
        <v/>
      </c>
      <c r="X42" s="29">
        <f>W42*G42</f>
        <v/>
      </c>
      <c r="Y42" s="28">
        <f>IF(U42&lt;=R42,"REORDER NOW",IF(W42&gt;0,"EXCESS - pause orders / promote","OK"))</f>
        <v/>
      </c>
      <c r="Z42" s="28">
        <f>IF(Y42="REORDER NOW",T42,0)</f>
        <v/>
      </c>
    </row>
    <row r="43">
      <c r="A43" s="5" t="inlineStr">
        <is>
          <t>P0010</t>
        </is>
      </c>
      <c r="B43" s="5" t="inlineStr">
        <is>
          <t>Electronics Item 010</t>
        </is>
      </c>
      <c r="C43" s="5" t="inlineStr">
        <is>
          <t>Electronics</t>
        </is>
      </c>
      <c r="D43" s="5" t="inlineStr">
        <is>
          <t>S10</t>
        </is>
      </c>
      <c r="E43" s="5" t="inlineStr">
        <is>
          <t>B</t>
        </is>
      </c>
      <c r="F43" s="5" t="inlineStr">
        <is>
          <t>X</t>
        </is>
      </c>
      <c r="G43" s="22" t="n">
        <v>54.11</v>
      </c>
      <c r="H43" s="23" t="n">
        <v>1.634</v>
      </c>
      <c r="I43" s="23" t="n">
        <v>1.6</v>
      </c>
      <c r="J43" s="24" t="n">
        <v>21.86</v>
      </c>
      <c r="K43" s="24" t="n">
        <v>2.931</v>
      </c>
      <c r="L43" s="25" t="n">
        <v>120</v>
      </c>
      <c r="M43" s="25" t="n">
        <v>57</v>
      </c>
      <c r="N43" s="25" t="n">
        <v>0</v>
      </c>
      <c r="O43" s="26">
        <f>INDEX(Assumptions!$B$13:$B$15,MATCH(E43,Assumptions!$A$13:$A$15,0))</f>
        <v/>
      </c>
      <c r="P43" s="27">
        <f>NORMSINV(O43)</f>
        <v/>
      </c>
      <c r="Q43" s="28">
        <f>ROUNDUP(P43*SQRT(J43*I43^2+H43^2*K43^2),0)</f>
        <v/>
      </c>
      <c r="R43" s="28">
        <f>ROUNDUP(H43*J43+Q43,0)</f>
        <v/>
      </c>
      <c r="S43" s="28">
        <f>IF(H43&gt;0,ROUNDUP(SQRT(2*H43*365*Assumptions!$B$5/(Assumptions!$B$6*G43)),0),0)</f>
        <v/>
      </c>
      <c r="T43" s="28">
        <f>MAX(S43,L43)</f>
        <v/>
      </c>
      <c r="U43" s="28">
        <f>M43+N43</f>
        <v/>
      </c>
      <c r="V43" s="28">
        <f>IF(H43&gt;0,M43/H43,999)</f>
        <v/>
      </c>
      <c r="W43" s="28">
        <f>MAX(0,U43-MAX(R43+T43,H43*Assumptions!$B$10))</f>
        <v/>
      </c>
      <c r="X43" s="29">
        <f>W43*G43</f>
        <v/>
      </c>
      <c r="Y43" s="28">
        <f>IF(U43&lt;=R43,"REORDER NOW",IF(W43&gt;0,"EXCESS - pause orders / promote","OK"))</f>
        <v/>
      </c>
      <c r="Z43" s="28">
        <f>IF(Y43="REORDER NOW",T43,0)</f>
        <v/>
      </c>
    </row>
    <row r="44">
      <c r="A44" s="5" t="inlineStr">
        <is>
          <t>P0014</t>
        </is>
      </c>
      <c r="B44" s="5" t="inlineStr">
        <is>
          <t>Electronics Item 014</t>
        </is>
      </c>
      <c r="C44" s="5" t="inlineStr">
        <is>
          <t>Electronics</t>
        </is>
      </c>
      <c r="D44" s="5" t="inlineStr">
        <is>
          <t>S09</t>
        </is>
      </c>
      <c r="E44" s="5" t="inlineStr">
        <is>
          <t>B</t>
        </is>
      </c>
      <c r="F44" s="5" t="inlineStr">
        <is>
          <t>X</t>
        </is>
      </c>
      <c r="G44" s="22" t="n">
        <v>64.77</v>
      </c>
      <c r="H44" s="23" t="n">
        <v>1.027</v>
      </c>
      <c r="I44" s="23" t="n">
        <v>1.166</v>
      </c>
      <c r="J44" s="24" t="n">
        <v>13.138</v>
      </c>
      <c r="K44" s="24" t="n">
        <v>3.817</v>
      </c>
      <c r="L44" s="25" t="n">
        <v>150</v>
      </c>
      <c r="M44" s="25" t="n">
        <v>63</v>
      </c>
      <c r="N44" s="25" t="n">
        <v>0</v>
      </c>
      <c r="O44" s="26">
        <f>INDEX(Assumptions!$B$13:$B$15,MATCH(E44,Assumptions!$A$13:$A$15,0))</f>
        <v/>
      </c>
      <c r="P44" s="27">
        <f>NORMSINV(O44)</f>
        <v/>
      </c>
      <c r="Q44" s="28">
        <f>ROUNDUP(P44*SQRT(J44*I44^2+H44^2*K44^2),0)</f>
        <v/>
      </c>
      <c r="R44" s="28">
        <f>ROUNDUP(H44*J44+Q44,0)</f>
        <v/>
      </c>
      <c r="S44" s="28">
        <f>IF(H44&gt;0,ROUNDUP(SQRT(2*H44*365*Assumptions!$B$5/(Assumptions!$B$6*G44)),0),0)</f>
        <v/>
      </c>
      <c r="T44" s="28">
        <f>MAX(S44,L44)</f>
        <v/>
      </c>
      <c r="U44" s="28">
        <f>M44+N44</f>
        <v/>
      </c>
      <c r="V44" s="28">
        <f>IF(H44&gt;0,M44/H44,999)</f>
        <v/>
      </c>
      <c r="W44" s="28">
        <f>MAX(0,U44-MAX(R44+T44,H44*Assumptions!$B$10))</f>
        <v/>
      </c>
      <c r="X44" s="29">
        <f>W44*G44</f>
        <v/>
      </c>
      <c r="Y44" s="28">
        <f>IF(U44&lt;=R44,"REORDER NOW",IF(W44&gt;0,"EXCESS - pause orders / promote","OK"))</f>
        <v/>
      </c>
      <c r="Z44" s="28">
        <f>IF(Y44="REORDER NOW",T44,0)</f>
        <v/>
      </c>
    </row>
    <row r="45">
      <c r="A45" s="5" t="inlineStr">
        <is>
          <t>P0017</t>
        </is>
      </c>
      <c r="B45" s="5" t="inlineStr">
        <is>
          <t>Electronics Item 017</t>
        </is>
      </c>
      <c r="C45" s="5" t="inlineStr">
        <is>
          <t>Electronics</t>
        </is>
      </c>
      <c r="D45" s="5" t="inlineStr">
        <is>
          <t>S03</t>
        </is>
      </c>
      <c r="E45" s="5" t="inlineStr">
        <is>
          <t>B</t>
        </is>
      </c>
      <c r="F45" s="5" t="inlineStr">
        <is>
          <t>X</t>
        </is>
      </c>
      <c r="G45" s="22" t="n">
        <v>66.67</v>
      </c>
      <c r="H45" s="23" t="n">
        <v>1.695</v>
      </c>
      <c r="I45" s="23" t="n">
        <v>1.525</v>
      </c>
      <c r="J45" s="24" t="n">
        <v>5.124</v>
      </c>
      <c r="K45" s="24" t="n">
        <v>0.839</v>
      </c>
      <c r="L45" s="25" t="n">
        <v>12</v>
      </c>
      <c r="M45" s="25" t="n">
        <v>37</v>
      </c>
      <c r="N45" s="25" t="n">
        <v>0</v>
      </c>
      <c r="O45" s="26">
        <f>INDEX(Assumptions!$B$13:$B$15,MATCH(E45,Assumptions!$A$13:$A$15,0))</f>
        <v/>
      </c>
      <c r="P45" s="27">
        <f>NORMSINV(O45)</f>
        <v/>
      </c>
      <c r="Q45" s="28">
        <f>ROUNDUP(P45*SQRT(J45*I45^2+H45^2*K45^2),0)</f>
        <v/>
      </c>
      <c r="R45" s="28">
        <f>ROUNDUP(H45*J45+Q45,0)</f>
        <v/>
      </c>
      <c r="S45" s="28">
        <f>IF(H45&gt;0,ROUNDUP(SQRT(2*H45*365*Assumptions!$B$5/(Assumptions!$B$6*G45)),0),0)</f>
        <v/>
      </c>
      <c r="T45" s="28">
        <f>MAX(S45,L45)</f>
        <v/>
      </c>
      <c r="U45" s="28">
        <f>M45+N45</f>
        <v/>
      </c>
      <c r="V45" s="28">
        <f>IF(H45&gt;0,M45/H45,999)</f>
        <v/>
      </c>
      <c r="W45" s="28">
        <f>MAX(0,U45-MAX(R45+T45,H45*Assumptions!$B$10))</f>
        <v/>
      </c>
      <c r="X45" s="29">
        <f>W45*G45</f>
        <v/>
      </c>
      <c r="Y45" s="28">
        <f>IF(U45&lt;=R45,"REORDER NOW",IF(W45&gt;0,"EXCESS - pause orders / promote","OK"))</f>
        <v/>
      </c>
      <c r="Z45" s="28">
        <f>IF(Y45="REORDER NOW",T45,0)</f>
        <v/>
      </c>
    </row>
    <row r="46">
      <c r="A46" s="5" t="inlineStr">
        <is>
          <t>P0024</t>
        </is>
      </c>
      <c r="B46" s="5" t="inlineStr">
        <is>
          <t>Electronics Item 024</t>
        </is>
      </c>
      <c r="C46" s="5" t="inlineStr">
        <is>
          <t>Electronics</t>
        </is>
      </c>
      <c r="D46" s="5" t="inlineStr">
        <is>
          <t>S07</t>
        </is>
      </c>
      <c r="E46" s="5" t="inlineStr">
        <is>
          <t>B</t>
        </is>
      </c>
      <c r="F46" s="5" t="inlineStr">
        <is>
          <t>X</t>
        </is>
      </c>
      <c r="G46" s="22" t="n">
        <v>51.57</v>
      </c>
      <c r="H46" s="23" t="n">
        <v>0.77</v>
      </c>
      <c r="I46" s="23" t="n">
        <v>0.828</v>
      </c>
      <c r="J46" s="24" t="n">
        <v>14.688</v>
      </c>
      <c r="K46" s="24" t="n">
        <v>2.076</v>
      </c>
      <c r="L46" s="25" t="n">
        <v>100</v>
      </c>
      <c r="M46" s="25" t="n">
        <v>6</v>
      </c>
      <c r="N46" s="25" t="n">
        <v>100</v>
      </c>
      <c r="O46" s="26">
        <f>INDEX(Assumptions!$B$13:$B$15,MATCH(E46,Assumptions!$A$13:$A$15,0))</f>
        <v/>
      </c>
      <c r="P46" s="27">
        <f>NORMSINV(O46)</f>
        <v/>
      </c>
      <c r="Q46" s="28">
        <f>ROUNDUP(P46*SQRT(J46*I46^2+H46^2*K46^2),0)</f>
        <v/>
      </c>
      <c r="R46" s="28">
        <f>ROUNDUP(H46*J46+Q46,0)</f>
        <v/>
      </c>
      <c r="S46" s="28">
        <f>IF(H46&gt;0,ROUNDUP(SQRT(2*H46*365*Assumptions!$B$5/(Assumptions!$B$6*G46)),0),0)</f>
        <v/>
      </c>
      <c r="T46" s="28">
        <f>MAX(S46,L46)</f>
        <v/>
      </c>
      <c r="U46" s="28">
        <f>M46+N46</f>
        <v/>
      </c>
      <c r="V46" s="28">
        <f>IF(H46&gt;0,M46/H46,999)</f>
        <v/>
      </c>
      <c r="W46" s="28">
        <f>MAX(0,U46-MAX(R46+T46,H46*Assumptions!$B$10))</f>
        <v/>
      </c>
      <c r="X46" s="29">
        <f>W46*G46</f>
        <v/>
      </c>
      <c r="Y46" s="28">
        <f>IF(U46&lt;=R46,"REORDER NOW",IF(W46&gt;0,"EXCESS - pause orders / promote","OK"))</f>
        <v/>
      </c>
      <c r="Z46" s="28">
        <f>IF(Y46="REORDER NOW",T46,0)</f>
        <v/>
      </c>
    </row>
    <row r="47">
      <c r="A47" s="5" t="inlineStr">
        <is>
          <t>P0027</t>
        </is>
      </c>
      <c r="B47" s="5" t="inlineStr">
        <is>
          <t>Home Item 027</t>
        </is>
      </c>
      <c r="C47" s="5" t="inlineStr">
        <is>
          <t>Home &amp; Kitchen</t>
        </is>
      </c>
      <c r="D47" s="5" t="inlineStr">
        <is>
          <t>S03</t>
        </is>
      </c>
      <c r="E47" s="5" t="inlineStr">
        <is>
          <t>B</t>
        </is>
      </c>
      <c r="F47" s="5" t="inlineStr">
        <is>
          <t>X</t>
        </is>
      </c>
      <c r="G47" s="22" t="n">
        <v>34.76</v>
      </c>
      <c r="H47" s="23" t="n">
        <v>0.839</v>
      </c>
      <c r="I47" s="23" t="n">
        <v>1.403</v>
      </c>
      <c r="J47" s="24" t="n">
        <v>5.124</v>
      </c>
      <c r="K47" s="24" t="n">
        <v>0.839</v>
      </c>
      <c r="L47" s="25" t="n">
        <v>12</v>
      </c>
      <c r="M47" s="25" t="n">
        <v>9</v>
      </c>
      <c r="N47" s="25" t="n">
        <v>0</v>
      </c>
      <c r="O47" s="26">
        <f>INDEX(Assumptions!$B$13:$B$15,MATCH(E47,Assumptions!$A$13:$A$15,0))</f>
        <v/>
      </c>
      <c r="P47" s="27">
        <f>NORMSINV(O47)</f>
        <v/>
      </c>
      <c r="Q47" s="28">
        <f>ROUNDUP(P47*SQRT(J47*I47^2+H47^2*K47^2),0)</f>
        <v/>
      </c>
      <c r="R47" s="28">
        <f>ROUNDUP(H47*J47+Q47,0)</f>
        <v/>
      </c>
      <c r="S47" s="28">
        <f>IF(H47&gt;0,ROUNDUP(SQRT(2*H47*365*Assumptions!$B$5/(Assumptions!$B$6*G47)),0),0)</f>
        <v/>
      </c>
      <c r="T47" s="28">
        <f>MAX(S47,L47)</f>
        <v/>
      </c>
      <c r="U47" s="28">
        <f>M47+N47</f>
        <v/>
      </c>
      <c r="V47" s="28">
        <f>IF(H47&gt;0,M47/H47,999)</f>
        <v/>
      </c>
      <c r="W47" s="28">
        <f>MAX(0,U47-MAX(R47+T47,H47*Assumptions!$B$10))</f>
        <v/>
      </c>
      <c r="X47" s="29">
        <f>W47*G47</f>
        <v/>
      </c>
      <c r="Y47" s="28">
        <f>IF(U47&lt;=R47,"REORDER NOW",IF(W47&gt;0,"EXCESS - pause orders / promote","OK"))</f>
        <v/>
      </c>
      <c r="Z47" s="28">
        <f>IF(Y47="REORDER NOW",T47,0)</f>
        <v/>
      </c>
    </row>
    <row r="48">
      <c r="A48" s="5" t="inlineStr">
        <is>
          <t>P0030</t>
        </is>
      </c>
      <c r="B48" s="5" t="inlineStr">
        <is>
          <t>Home Item 030</t>
        </is>
      </c>
      <c r="C48" s="5" t="inlineStr">
        <is>
          <t>Home &amp; Kitchen</t>
        </is>
      </c>
      <c r="D48" s="5" t="inlineStr">
        <is>
          <t>S07</t>
        </is>
      </c>
      <c r="E48" s="5" t="inlineStr">
        <is>
          <t>B</t>
        </is>
      </c>
      <c r="F48" s="5" t="inlineStr">
        <is>
          <t>X</t>
        </is>
      </c>
      <c r="G48" s="22" t="n">
        <v>8.890000000000001</v>
      </c>
      <c r="H48" s="23" t="n">
        <v>8.262</v>
      </c>
      <c r="I48" s="23" t="n">
        <v>4.03</v>
      </c>
      <c r="J48" s="24" t="n">
        <v>14.688</v>
      </c>
      <c r="K48" s="24" t="n">
        <v>2.076</v>
      </c>
      <c r="L48" s="25" t="n">
        <v>100</v>
      </c>
      <c r="M48" s="25" t="n">
        <v>15</v>
      </c>
      <c r="N48" s="25" t="n">
        <v>343</v>
      </c>
      <c r="O48" s="26">
        <f>INDEX(Assumptions!$B$13:$B$15,MATCH(E48,Assumptions!$A$13:$A$15,0))</f>
        <v/>
      </c>
      <c r="P48" s="27">
        <f>NORMSINV(O48)</f>
        <v/>
      </c>
      <c r="Q48" s="28">
        <f>ROUNDUP(P48*SQRT(J48*I48^2+H48^2*K48^2),0)</f>
        <v/>
      </c>
      <c r="R48" s="28">
        <f>ROUNDUP(H48*J48+Q48,0)</f>
        <v/>
      </c>
      <c r="S48" s="28">
        <f>IF(H48&gt;0,ROUNDUP(SQRT(2*H48*365*Assumptions!$B$5/(Assumptions!$B$6*G48)),0),0)</f>
        <v/>
      </c>
      <c r="T48" s="28">
        <f>MAX(S48,L48)</f>
        <v/>
      </c>
      <c r="U48" s="28">
        <f>M48+N48</f>
        <v/>
      </c>
      <c r="V48" s="28">
        <f>IF(H48&gt;0,M48/H48,999)</f>
        <v/>
      </c>
      <c r="W48" s="28">
        <f>MAX(0,U48-MAX(R48+T48,H48*Assumptions!$B$10))</f>
        <v/>
      </c>
      <c r="X48" s="29">
        <f>W48*G48</f>
        <v/>
      </c>
      <c r="Y48" s="28">
        <f>IF(U48&lt;=R48,"REORDER NOW",IF(W48&gt;0,"EXCESS - pause orders / promote","OK"))</f>
        <v/>
      </c>
      <c r="Z48" s="28">
        <f>IF(Y48="REORDER NOW",T48,0)</f>
        <v/>
      </c>
    </row>
    <row r="49">
      <c r="A49" s="5" t="inlineStr">
        <is>
          <t>P0031</t>
        </is>
      </c>
      <c r="B49" s="5" t="inlineStr">
        <is>
          <t>Home Item 031</t>
        </is>
      </c>
      <c r="C49" s="5" t="inlineStr">
        <is>
          <t>Home &amp; Kitchen</t>
        </is>
      </c>
      <c r="D49" s="5" t="inlineStr">
        <is>
          <t>S01</t>
        </is>
      </c>
      <c r="E49" s="5" t="inlineStr">
        <is>
          <t>B</t>
        </is>
      </c>
      <c r="F49" s="5" t="inlineStr">
        <is>
          <t>X</t>
        </is>
      </c>
      <c r="G49" s="22" t="n">
        <v>36.53</v>
      </c>
      <c r="H49" s="23" t="n">
        <v>1.203</v>
      </c>
      <c r="I49" s="23" t="n">
        <v>1.458</v>
      </c>
      <c r="J49" s="24" t="n">
        <v>7.124</v>
      </c>
      <c r="K49" s="24" t="n">
        <v>1.029</v>
      </c>
      <c r="L49" s="25" t="n">
        <v>24</v>
      </c>
      <c r="M49" s="25" t="n">
        <v>32</v>
      </c>
      <c r="N49" s="25" t="n">
        <v>0</v>
      </c>
      <c r="O49" s="26">
        <f>INDEX(Assumptions!$B$13:$B$15,MATCH(E49,Assumptions!$A$13:$A$15,0))</f>
        <v/>
      </c>
      <c r="P49" s="27">
        <f>NORMSINV(O49)</f>
        <v/>
      </c>
      <c r="Q49" s="28">
        <f>ROUNDUP(P49*SQRT(J49*I49^2+H49^2*K49^2),0)</f>
        <v/>
      </c>
      <c r="R49" s="28">
        <f>ROUNDUP(H49*J49+Q49,0)</f>
        <v/>
      </c>
      <c r="S49" s="28">
        <f>IF(H49&gt;0,ROUNDUP(SQRT(2*H49*365*Assumptions!$B$5/(Assumptions!$B$6*G49)),0),0)</f>
        <v/>
      </c>
      <c r="T49" s="28">
        <f>MAX(S49,L49)</f>
        <v/>
      </c>
      <c r="U49" s="28">
        <f>M49+N49</f>
        <v/>
      </c>
      <c r="V49" s="28">
        <f>IF(H49&gt;0,M49/H49,999)</f>
        <v/>
      </c>
      <c r="W49" s="28">
        <f>MAX(0,U49-MAX(R49+T49,H49*Assumptions!$B$10))</f>
        <v/>
      </c>
      <c r="X49" s="29">
        <f>W49*G49</f>
        <v/>
      </c>
      <c r="Y49" s="28">
        <f>IF(U49&lt;=R49,"REORDER NOW",IF(W49&gt;0,"EXCESS - pause orders / promote","OK"))</f>
        <v/>
      </c>
      <c r="Z49" s="28">
        <f>IF(Y49="REORDER NOW",T49,0)</f>
        <v/>
      </c>
    </row>
    <row r="50">
      <c r="A50" s="5" t="inlineStr">
        <is>
          <t>P0032</t>
        </is>
      </c>
      <c r="B50" s="5" t="inlineStr">
        <is>
          <t>Home Item 032</t>
        </is>
      </c>
      <c r="C50" s="5" t="inlineStr">
        <is>
          <t>Home &amp; Kitchen</t>
        </is>
      </c>
      <c r="D50" s="5" t="inlineStr">
        <is>
          <t>S01</t>
        </is>
      </c>
      <c r="E50" s="5" t="inlineStr">
        <is>
          <t>B</t>
        </is>
      </c>
      <c r="F50" s="5" t="inlineStr">
        <is>
          <t>Y</t>
        </is>
      </c>
      <c r="G50" s="22" t="n">
        <v>57.77</v>
      </c>
      <c r="H50" s="23" t="n">
        <v>0.536</v>
      </c>
      <c r="I50" s="23" t="n">
        <v>1.204</v>
      </c>
      <c r="J50" s="24" t="n">
        <v>7.124</v>
      </c>
      <c r="K50" s="24" t="n">
        <v>1.029</v>
      </c>
      <c r="L50" s="25" t="n">
        <v>24</v>
      </c>
      <c r="M50" s="25" t="n">
        <v>4</v>
      </c>
      <c r="N50" s="25" t="n">
        <v>38</v>
      </c>
      <c r="O50" s="26">
        <f>INDEX(Assumptions!$B$13:$B$15,MATCH(E50,Assumptions!$A$13:$A$15,0))</f>
        <v/>
      </c>
      <c r="P50" s="27">
        <f>NORMSINV(O50)</f>
        <v/>
      </c>
      <c r="Q50" s="28">
        <f>ROUNDUP(P50*SQRT(J50*I50^2+H50^2*K50^2),0)</f>
        <v/>
      </c>
      <c r="R50" s="28">
        <f>ROUNDUP(H50*J50+Q50,0)</f>
        <v/>
      </c>
      <c r="S50" s="28">
        <f>IF(H50&gt;0,ROUNDUP(SQRT(2*H50*365*Assumptions!$B$5/(Assumptions!$B$6*G50)),0),0)</f>
        <v/>
      </c>
      <c r="T50" s="28">
        <f>MAX(S50,L50)</f>
        <v/>
      </c>
      <c r="U50" s="28">
        <f>M50+N50</f>
        <v/>
      </c>
      <c r="V50" s="28">
        <f>IF(H50&gt;0,M50/H50,999)</f>
        <v/>
      </c>
      <c r="W50" s="28">
        <f>MAX(0,U50-MAX(R50+T50,H50*Assumptions!$B$10))</f>
        <v/>
      </c>
      <c r="X50" s="29">
        <f>W50*G50</f>
        <v/>
      </c>
      <c r="Y50" s="28">
        <f>IF(U50&lt;=R50,"REORDER NOW",IF(W50&gt;0,"EXCESS - pause orders / promote","OK"))</f>
        <v/>
      </c>
      <c r="Z50" s="28">
        <f>IF(Y50="REORDER NOW",T50,0)</f>
        <v/>
      </c>
    </row>
    <row r="51">
      <c r="A51" s="5" t="inlineStr">
        <is>
          <t>P0035</t>
        </is>
      </c>
      <c r="B51" s="5" t="inlineStr">
        <is>
          <t>Home Item 035</t>
        </is>
      </c>
      <c r="C51" s="5" t="inlineStr">
        <is>
          <t>Home &amp; Kitchen</t>
        </is>
      </c>
      <c r="D51" s="5" t="inlineStr">
        <is>
          <t>S07</t>
        </is>
      </c>
      <c r="E51" s="5" t="inlineStr">
        <is>
          <t>B</t>
        </is>
      </c>
      <c r="F51" s="5" t="inlineStr">
        <is>
          <t>X</t>
        </is>
      </c>
      <c r="G51" s="22" t="n">
        <v>27.32</v>
      </c>
      <c r="H51" s="23" t="n">
        <v>1.196</v>
      </c>
      <c r="I51" s="23" t="n">
        <v>1.498</v>
      </c>
      <c r="J51" s="24" t="n">
        <v>14.688</v>
      </c>
      <c r="K51" s="24" t="n">
        <v>2.076</v>
      </c>
      <c r="L51" s="25" t="n">
        <v>100</v>
      </c>
      <c r="M51" s="25" t="n">
        <v>159</v>
      </c>
      <c r="N51" s="25" t="n">
        <v>0</v>
      </c>
      <c r="O51" s="26">
        <f>INDEX(Assumptions!$B$13:$B$15,MATCH(E51,Assumptions!$A$13:$A$15,0))</f>
        <v/>
      </c>
      <c r="P51" s="27">
        <f>NORMSINV(O51)</f>
        <v/>
      </c>
      <c r="Q51" s="28">
        <f>ROUNDUP(P51*SQRT(J51*I51^2+H51^2*K51^2),0)</f>
        <v/>
      </c>
      <c r="R51" s="28">
        <f>ROUNDUP(H51*J51+Q51,0)</f>
        <v/>
      </c>
      <c r="S51" s="28">
        <f>IF(H51&gt;0,ROUNDUP(SQRT(2*H51*365*Assumptions!$B$5/(Assumptions!$B$6*G51)),0),0)</f>
        <v/>
      </c>
      <c r="T51" s="28">
        <f>MAX(S51,L51)</f>
        <v/>
      </c>
      <c r="U51" s="28">
        <f>M51+N51</f>
        <v/>
      </c>
      <c r="V51" s="28">
        <f>IF(H51&gt;0,M51/H51,999)</f>
        <v/>
      </c>
      <c r="W51" s="28">
        <f>MAX(0,U51-MAX(R51+T51,H51*Assumptions!$B$10))</f>
        <v/>
      </c>
      <c r="X51" s="29">
        <f>W51*G51</f>
        <v/>
      </c>
      <c r="Y51" s="28">
        <f>IF(U51&lt;=R51,"REORDER NOW",IF(W51&gt;0,"EXCESS - pause orders / promote","OK"))</f>
        <v/>
      </c>
      <c r="Z51" s="28">
        <f>IF(Y51="REORDER NOW",T51,0)</f>
        <v/>
      </c>
    </row>
    <row r="52">
      <c r="A52" s="5" t="inlineStr">
        <is>
          <t>P0036</t>
        </is>
      </c>
      <c r="B52" s="5" t="inlineStr">
        <is>
          <t>Home Item 036</t>
        </is>
      </c>
      <c r="C52" s="5" t="inlineStr">
        <is>
          <t>Home &amp; Kitchen</t>
        </is>
      </c>
      <c r="D52" s="5" t="inlineStr">
        <is>
          <t>S01</t>
        </is>
      </c>
      <c r="E52" s="5" t="inlineStr">
        <is>
          <t>B</t>
        </is>
      </c>
      <c r="F52" s="5" t="inlineStr">
        <is>
          <t>X</t>
        </is>
      </c>
      <c r="G52" s="22" t="n">
        <v>20.72</v>
      </c>
      <c r="H52" s="23" t="n">
        <v>2.381</v>
      </c>
      <c r="I52" s="23" t="n">
        <v>2.121</v>
      </c>
      <c r="J52" s="24" t="n">
        <v>7.124</v>
      </c>
      <c r="K52" s="24" t="n">
        <v>1.029</v>
      </c>
      <c r="L52" s="25" t="n">
        <v>24</v>
      </c>
      <c r="M52" s="25" t="n">
        <v>53</v>
      </c>
      <c r="N52" s="25" t="n">
        <v>0</v>
      </c>
      <c r="O52" s="26">
        <f>INDEX(Assumptions!$B$13:$B$15,MATCH(E52,Assumptions!$A$13:$A$15,0))</f>
        <v/>
      </c>
      <c r="P52" s="27">
        <f>NORMSINV(O52)</f>
        <v/>
      </c>
      <c r="Q52" s="28">
        <f>ROUNDUP(P52*SQRT(J52*I52^2+H52^2*K52^2),0)</f>
        <v/>
      </c>
      <c r="R52" s="28">
        <f>ROUNDUP(H52*J52+Q52,0)</f>
        <v/>
      </c>
      <c r="S52" s="28">
        <f>IF(H52&gt;0,ROUNDUP(SQRT(2*H52*365*Assumptions!$B$5/(Assumptions!$B$6*G52)),0),0)</f>
        <v/>
      </c>
      <c r="T52" s="28">
        <f>MAX(S52,L52)</f>
        <v/>
      </c>
      <c r="U52" s="28">
        <f>M52+N52</f>
        <v/>
      </c>
      <c r="V52" s="28">
        <f>IF(H52&gt;0,M52/H52,999)</f>
        <v/>
      </c>
      <c r="W52" s="28">
        <f>MAX(0,U52-MAX(R52+T52,H52*Assumptions!$B$10))</f>
        <v/>
      </c>
      <c r="X52" s="29">
        <f>W52*G52</f>
        <v/>
      </c>
      <c r="Y52" s="28">
        <f>IF(U52&lt;=R52,"REORDER NOW",IF(W52&gt;0,"EXCESS - pause orders / promote","OK"))</f>
        <v/>
      </c>
      <c r="Z52" s="28">
        <f>IF(Y52="REORDER NOW",T52,0)</f>
        <v/>
      </c>
    </row>
    <row r="53">
      <c r="A53" s="5" t="inlineStr">
        <is>
          <t>P0042</t>
        </is>
      </c>
      <c r="B53" s="5" t="inlineStr">
        <is>
          <t>Home Item 042</t>
        </is>
      </c>
      <c r="C53" s="5" t="inlineStr">
        <is>
          <t>Home &amp; Kitchen</t>
        </is>
      </c>
      <c r="D53" s="5" t="inlineStr">
        <is>
          <t>S06</t>
        </is>
      </c>
      <c r="E53" s="5" t="inlineStr">
        <is>
          <t>B</t>
        </is>
      </c>
      <c r="F53" s="5" t="inlineStr">
        <is>
          <t>X</t>
        </is>
      </c>
      <c r="G53" s="22" t="n">
        <v>21.73</v>
      </c>
      <c r="H53" s="23" t="n">
        <v>2.244</v>
      </c>
      <c r="I53" s="23" t="n">
        <v>1.998</v>
      </c>
      <c r="J53" s="24" t="n">
        <v>13.277</v>
      </c>
      <c r="K53" s="24" t="n">
        <v>2.821</v>
      </c>
      <c r="L53" s="25" t="n">
        <v>48</v>
      </c>
      <c r="M53" s="25" t="n">
        <v>53</v>
      </c>
      <c r="N53" s="25" t="n">
        <v>0</v>
      </c>
      <c r="O53" s="26">
        <f>INDEX(Assumptions!$B$13:$B$15,MATCH(E53,Assumptions!$A$13:$A$15,0))</f>
        <v/>
      </c>
      <c r="P53" s="27">
        <f>NORMSINV(O53)</f>
        <v/>
      </c>
      <c r="Q53" s="28">
        <f>ROUNDUP(P53*SQRT(J53*I53^2+H53^2*K53^2),0)</f>
        <v/>
      </c>
      <c r="R53" s="28">
        <f>ROUNDUP(H53*J53+Q53,0)</f>
        <v/>
      </c>
      <c r="S53" s="28">
        <f>IF(H53&gt;0,ROUNDUP(SQRT(2*H53*365*Assumptions!$B$5/(Assumptions!$B$6*G53)),0),0)</f>
        <v/>
      </c>
      <c r="T53" s="28">
        <f>MAX(S53,L53)</f>
        <v/>
      </c>
      <c r="U53" s="28">
        <f>M53+N53</f>
        <v/>
      </c>
      <c r="V53" s="28">
        <f>IF(H53&gt;0,M53/H53,999)</f>
        <v/>
      </c>
      <c r="W53" s="28">
        <f>MAX(0,U53-MAX(R53+T53,H53*Assumptions!$B$10))</f>
        <v/>
      </c>
      <c r="X53" s="29">
        <f>W53*G53</f>
        <v/>
      </c>
      <c r="Y53" s="28">
        <f>IF(U53&lt;=R53,"REORDER NOW",IF(W53&gt;0,"EXCESS - pause orders / promote","OK"))</f>
        <v/>
      </c>
      <c r="Z53" s="28">
        <f>IF(Y53="REORDER NOW",T53,0)</f>
        <v/>
      </c>
    </row>
    <row r="54">
      <c r="A54" s="5" t="inlineStr">
        <is>
          <t>P0047</t>
        </is>
      </c>
      <c r="B54" s="5" t="inlineStr">
        <is>
          <t>Home Item 047</t>
        </is>
      </c>
      <c r="C54" s="5" t="inlineStr">
        <is>
          <t>Home &amp; Kitchen</t>
        </is>
      </c>
      <c r="D54" s="5" t="inlineStr">
        <is>
          <t>S02</t>
        </is>
      </c>
      <c r="E54" s="5" t="inlineStr">
        <is>
          <t>B</t>
        </is>
      </c>
      <c r="F54" s="5" t="inlineStr">
        <is>
          <t>X</t>
        </is>
      </c>
      <c r="G54" s="22" t="n">
        <v>66.31999999999999</v>
      </c>
      <c r="H54" s="23" t="n">
        <v>1.342</v>
      </c>
      <c r="I54" s="23" t="n">
        <v>1.495</v>
      </c>
      <c r="J54" s="24" t="n">
        <v>10.431</v>
      </c>
      <c r="K54" s="24" t="n">
        <v>1.544</v>
      </c>
      <c r="L54" s="25" t="n">
        <v>50</v>
      </c>
      <c r="M54" s="25" t="n">
        <v>7</v>
      </c>
      <c r="N54" s="25" t="n">
        <v>97</v>
      </c>
      <c r="O54" s="26">
        <f>INDEX(Assumptions!$B$13:$B$15,MATCH(E54,Assumptions!$A$13:$A$15,0))</f>
        <v/>
      </c>
      <c r="P54" s="27">
        <f>NORMSINV(O54)</f>
        <v/>
      </c>
      <c r="Q54" s="28">
        <f>ROUNDUP(P54*SQRT(J54*I54^2+H54^2*K54^2),0)</f>
        <v/>
      </c>
      <c r="R54" s="28">
        <f>ROUNDUP(H54*J54+Q54,0)</f>
        <v/>
      </c>
      <c r="S54" s="28">
        <f>IF(H54&gt;0,ROUNDUP(SQRT(2*H54*365*Assumptions!$B$5/(Assumptions!$B$6*G54)),0),0)</f>
        <v/>
      </c>
      <c r="T54" s="28">
        <f>MAX(S54,L54)</f>
        <v/>
      </c>
      <c r="U54" s="28">
        <f>M54+N54</f>
        <v/>
      </c>
      <c r="V54" s="28">
        <f>IF(H54&gt;0,M54/H54,999)</f>
        <v/>
      </c>
      <c r="W54" s="28">
        <f>MAX(0,U54-MAX(R54+T54,H54*Assumptions!$B$10))</f>
        <v/>
      </c>
      <c r="X54" s="29">
        <f>W54*G54</f>
        <v/>
      </c>
      <c r="Y54" s="28">
        <f>IF(U54&lt;=R54,"REORDER NOW",IF(W54&gt;0,"EXCESS - pause orders / promote","OK"))</f>
        <v/>
      </c>
      <c r="Z54" s="28">
        <f>IF(Y54="REORDER NOW",T54,0)</f>
        <v/>
      </c>
    </row>
    <row r="55">
      <c r="A55" s="5" t="inlineStr">
        <is>
          <t>P0053</t>
        </is>
      </c>
      <c r="B55" s="5" t="inlineStr">
        <is>
          <t>Home Item 053</t>
        </is>
      </c>
      <c r="C55" s="5" t="inlineStr">
        <is>
          <t>Home &amp; Kitchen</t>
        </is>
      </c>
      <c r="D55" s="5" t="inlineStr">
        <is>
          <t>S09</t>
        </is>
      </c>
      <c r="E55" s="5" t="inlineStr">
        <is>
          <t>B</t>
        </is>
      </c>
      <c r="F55" s="5" t="inlineStr">
        <is>
          <t>X</t>
        </is>
      </c>
      <c r="G55" s="22" t="n">
        <v>37.56</v>
      </c>
      <c r="H55" s="23" t="n">
        <v>2.396</v>
      </c>
      <c r="I55" s="23" t="n">
        <v>1.715</v>
      </c>
      <c r="J55" s="24" t="n">
        <v>13.138</v>
      </c>
      <c r="K55" s="24" t="n">
        <v>3.817</v>
      </c>
      <c r="L55" s="25" t="n">
        <v>150</v>
      </c>
      <c r="M55" s="25" t="n">
        <v>225</v>
      </c>
      <c r="N55" s="25" t="n">
        <v>0</v>
      </c>
      <c r="O55" s="26">
        <f>INDEX(Assumptions!$B$13:$B$15,MATCH(E55,Assumptions!$A$13:$A$15,0))</f>
        <v/>
      </c>
      <c r="P55" s="27">
        <f>NORMSINV(O55)</f>
        <v/>
      </c>
      <c r="Q55" s="28">
        <f>ROUNDUP(P55*SQRT(J55*I55^2+H55^2*K55^2),0)</f>
        <v/>
      </c>
      <c r="R55" s="28">
        <f>ROUNDUP(H55*J55+Q55,0)</f>
        <v/>
      </c>
      <c r="S55" s="28">
        <f>IF(H55&gt;0,ROUNDUP(SQRT(2*H55*365*Assumptions!$B$5/(Assumptions!$B$6*G55)),0),0)</f>
        <v/>
      </c>
      <c r="T55" s="28">
        <f>MAX(S55,L55)</f>
        <v/>
      </c>
      <c r="U55" s="28">
        <f>M55+N55</f>
        <v/>
      </c>
      <c r="V55" s="28">
        <f>IF(H55&gt;0,M55/H55,999)</f>
        <v/>
      </c>
      <c r="W55" s="28">
        <f>MAX(0,U55-MAX(R55+T55,H55*Assumptions!$B$10))</f>
        <v/>
      </c>
      <c r="X55" s="29">
        <f>W55*G55</f>
        <v/>
      </c>
      <c r="Y55" s="28">
        <f>IF(U55&lt;=R55,"REORDER NOW",IF(W55&gt;0,"EXCESS - pause orders / promote","OK"))</f>
        <v/>
      </c>
      <c r="Z55" s="28">
        <f>IF(Y55="REORDER NOW",T55,0)</f>
        <v/>
      </c>
    </row>
    <row r="56">
      <c r="A56" s="5" t="inlineStr">
        <is>
          <t>P0055</t>
        </is>
      </c>
      <c r="B56" s="5" t="inlineStr">
        <is>
          <t>Home Item 055</t>
        </is>
      </c>
      <c r="C56" s="5" t="inlineStr">
        <is>
          <t>Home &amp; Kitchen</t>
        </is>
      </c>
      <c r="D56" s="5" t="inlineStr">
        <is>
          <t>S09</t>
        </is>
      </c>
      <c r="E56" s="5" t="inlineStr">
        <is>
          <t>B</t>
        </is>
      </c>
      <c r="F56" s="5" t="inlineStr">
        <is>
          <t>X</t>
        </is>
      </c>
      <c r="G56" s="22" t="n">
        <v>12.98</v>
      </c>
      <c r="H56" s="23" t="n">
        <v>3.505</v>
      </c>
      <c r="I56" s="23" t="n">
        <v>2.776</v>
      </c>
      <c r="J56" s="24" t="n">
        <v>13.138</v>
      </c>
      <c r="K56" s="24" t="n">
        <v>3.817</v>
      </c>
      <c r="L56" s="25" t="n">
        <v>150</v>
      </c>
      <c r="M56" s="25" t="n">
        <v>173</v>
      </c>
      <c r="N56" s="25" t="n">
        <v>0</v>
      </c>
      <c r="O56" s="26">
        <f>INDEX(Assumptions!$B$13:$B$15,MATCH(E56,Assumptions!$A$13:$A$15,0))</f>
        <v/>
      </c>
      <c r="P56" s="27">
        <f>NORMSINV(O56)</f>
        <v/>
      </c>
      <c r="Q56" s="28">
        <f>ROUNDUP(P56*SQRT(J56*I56^2+H56^2*K56^2),0)</f>
        <v/>
      </c>
      <c r="R56" s="28">
        <f>ROUNDUP(H56*J56+Q56,0)</f>
        <v/>
      </c>
      <c r="S56" s="28">
        <f>IF(H56&gt;0,ROUNDUP(SQRT(2*H56*365*Assumptions!$B$5/(Assumptions!$B$6*G56)),0),0)</f>
        <v/>
      </c>
      <c r="T56" s="28">
        <f>MAX(S56,L56)</f>
        <v/>
      </c>
      <c r="U56" s="28">
        <f>M56+N56</f>
        <v/>
      </c>
      <c r="V56" s="28">
        <f>IF(H56&gt;0,M56/H56,999)</f>
        <v/>
      </c>
      <c r="W56" s="28">
        <f>MAX(0,U56-MAX(R56+T56,H56*Assumptions!$B$10))</f>
        <v/>
      </c>
      <c r="X56" s="29">
        <f>W56*G56</f>
        <v/>
      </c>
      <c r="Y56" s="28">
        <f>IF(U56&lt;=R56,"REORDER NOW",IF(W56&gt;0,"EXCESS - pause orders / promote","OK"))</f>
        <v/>
      </c>
      <c r="Z56" s="28">
        <f>IF(Y56="REORDER NOW",T56,0)</f>
        <v/>
      </c>
    </row>
    <row r="57">
      <c r="A57" s="5" t="inlineStr">
        <is>
          <t>P0059</t>
        </is>
      </c>
      <c r="B57" s="5" t="inlineStr">
        <is>
          <t>Outdoor Item 059</t>
        </is>
      </c>
      <c r="C57" s="5" t="inlineStr">
        <is>
          <t>Outdoor &amp; Garden</t>
        </is>
      </c>
      <c r="D57" s="5" t="inlineStr">
        <is>
          <t>S10</t>
        </is>
      </c>
      <c r="E57" s="5" t="inlineStr">
        <is>
          <t>B</t>
        </is>
      </c>
      <c r="F57" s="5" t="inlineStr">
        <is>
          <t>X</t>
        </is>
      </c>
      <c r="G57" s="22" t="n">
        <v>20.33</v>
      </c>
      <c r="H57" s="23" t="n">
        <v>4.951</v>
      </c>
      <c r="I57" s="23" t="n">
        <v>3.777</v>
      </c>
      <c r="J57" s="24" t="n">
        <v>21.86</v>
      </c>
      <c r="K57" s="24" t="n">
        <v>2.931</v>
      </c>
      <c r="L57" s="25" t="n">
        <v>120</v>
      </c>
      <c r="M57" s="25" t="n">
        <v>46</v>
      </c>
      <c r="N57" s="25" t="n">
        <v>133</v>
      </c>
      <c r="O57" s="26">
        <f>INDEX(Assumptions!$B$13:$B$15,MATCH(E57,Assumptions!$A$13:$A$15,0))</f>
        <v/>
      </c>
      <c r="P57" s="27">
        <f>NORMSINV(O57)</f>
        <v/>
      </c>
      <c r="Q57" s="28">
        <f>ROUNDUP(P57*SQRT(J57*I57^2+H57^2*K57^2),0)</f>
        <v/>
      </c>
      <c r="R57" s="28">
        <f>ROUNDUP(H57*J57+Q57,0)</f>
        <v/>
      </c>
      <c r="S57" s="28">
        <f>IF(H57&gt;0,ROUNDUP(SQRT(2*H57*365*Assumptions!$B$5/(Assumptions!$B$6*G57)),0),0)</f>
        <v/>
      </c>
      <c r="T57" s="28">
        <f>MAX(S57,L57)</f>
        <v/>
      </c>
      <c r="U57" s="28">
        <f>M57+N57</f>
        <v/>
      </c>
      <c r="V57" s="28">
        <f>IF(H57&gt;0,M57/H57,999)</f>
        <v/>
      </c>
      <c r="W57" s="28">
        <f>MAX(0,U57-MAX(R57+T57,H57*Assumptions!$B$10))</f>
        <v/>
      </c>
      <c r="X57" s="29">
        <f>W57*G57</f>
        <v/>
      </c>
      <c r="Y57" s="28">
        <f>IF(U57&lt;=R57,"REORDER NOW",IF(W57&gt;0,"EXCESS - pause orders / promote","OK"))</f>
        <v/>
      </c>
      <c r="Z57" s="28">
        <f>IF(Y57="REORDER NOW",T57,0)</f>
        <v/>
      </c>
    </row>
    <row r="58">
      <c r="A58" s="5" t="inlineStr">
        <is>
          <t>P0061</t>
        </is>
      </c>
      <c r="B58" s="5" t="inlineStr">
        <is>
          <t>Outdoor Item 061</t>
        </is>
      </c>
      <c r="C58" s="5" t="inlineStr">
        <is>
          <t>Outdoor &amp; Garden</t>
        </is>
      </c>
      <c r="D58" s="5" t="inlineStr">
        <is>
          <t>S01</t>
        </is>
      </c>
      <c r="E58" s="5" t="inlineStr">
        <is>
          <t>B</t>
        </is>
      </c>
      <c r="F58" s="5" t="inlineStr">
        <is>
          <t>X</t>
        </is>
      </c>
      <c r="G58" s="22" t="n">
        <v>13.39</v>
      </c>
      <c r="H58" s="23" t="n">
        <v>1.721</v>
      </c>
      <c r="I58" s="23" t="n">
        <v>1.612</v>
      </c>
      <c r="J58" s="24" t="n">
        <v>7.124</v>
      </c>
      <c r="K58" s="24" t="n">
        <v>1.029</v>
      </c>
      <c r="L58" s="25" t="n">
        <v>24</v>
      </c>
      <c r="M58" s="25" t="n">
        <v>34</v>
      </c>
      <c r="N58" s="25" t="n">
        <v>0</v>
      </c>
      <c r="O58" s="26">
        <f>INDEX(Assumptions!$B$13:$B$15,MATCH(E58,Assumptions!$A$13:$A$15,0))</f>
        <v/>
      </c>
      <c r="P58" s="27">
        <f>NORMSINV(O58)</f>
        <v/>
      </c>
      <c r="Q58" s="28">
        <f>ROUNDUP(P58*SQRT(J58*I58^2+H58^2*K58^2),0)</f>
        <v/>
      </c>
      <c r="R58" s="28">
        <f>ROUNDUP(H58*J58+Q58,0)</f>
        <v/>
      </c>
      <c r="S58" s="28">
        <f>IF(H58&gt;0,ROUNDUP(SQRT(2*H58*365*Assumptions!$B$5/(Assumptions!$B$6*G58)),0),0)</f>
        <v/>
      </c>
      <c r="T58" s="28">
        <f>MAX(S58,L58)</f>
        <v/>
      </c>
      <c r="U58" s="28">
        <f>M58+N58</f>
        <v/>
      </c>
      <c r="V58" s="28">
        <f>IF(H58&gt;0,M58/H58,999)</f>
        <v/>
      </c>
      <c r="W58" s="28">
        <f>MAX(0,U58-MAX(R58+T58,H58*Assumptions!$B$10))</f>
        <v/>
      </c>
      <c r="X58" s="29">
        <f>W58*G58</f>
        <v/>
      </c>
      <c r="Y58" s="28">
        <f>IF(U58&lt;=R58,"REORDER NOW",IF(W58&gt;0,"EXCESS - pause orders / promote","OK"))</f>
        <v/>
      </c>
      <c r="Z58" s="28">
        <f>IF(Y58="REORDER NOW",T58,0)</f>
        <v/>
      </c>
    </row>
    <row r="59">
      <c r="A59" s="5" t="inlineStr">
        <is>
          <t>P0063</t>
        </is>
      </c>
      <c r="B59" s="5" t="inlineStr">
        <is>
          <t>Outdoor Item 063</t>
        </is>
      </c>
      <c r="C59" s="5" t="inlineStr">
        <is>
          <t>Outdoor &amp; Garden</t>
        </is>
      </c>
      <c r="D59" s="5" t="inlineStr">
        <is>
          <t>S06</t>
        </is>
      </c>
      <c r="E59" s="5" t="inlineStr">
        <is>
          <t>B</t>
        </is>
      </c>
      <c r="F59" s="5" t="inlineStr">
        <is>
          <t>Y</t>
        </is>
      </c>
      <c r="G59" s="22" t="n">
        <v>30.29</v>
      </c>
      <c r="H59" s="23" t="n">
        <v>0.27</v>
      </c>
      <c r="I59" s="23" t="n">
        <v>0.6870000000000001</v>
      </c>
      <c r="J59" s="24" t="n">
        <v>13.277</v>
      </c>
      <c r="K59" s="24" t="n">
        <v>2.821</v>
      </c>
      <c r="L59" s="25" t="n">
        <v>48</v>
      </c>
      <c r="M59" s="25" t="n">
        <v>70</v>
      </c>
      <c r="N59" s="25" t="n">
        <v>0</v>
      </c>
      <c r="O59" s="26">
        <f>INDEX(Assumptions!$B$13:$B$15,MATCH(E59,Assumptions!$A$13:$A$15,0))</f>
        <v/>
      </c>
      <c r="P59" s="27">
        <f>NORMSINV(O59)</f>
        <v/>
      </c>
      <c r="Q59" s="28">
        <f>ROUNDUP(P59*SQRT(J59*I59^2+H59^2*K59^2),0)</f>
        <v/>
      </c>
      <c r="R59" s="28">
        <f>ROUNDUP(H59*J59+Q59,0)</f>
        <v/>
      </c>
      <c r="S59" s="28">
        <f>IF(H59&gt;0,ROUNDUP(SQRT(2*H59*365*Assumptions!$B$5/(Assumptions!$B$6*G59)),0),0)</f>
        <v/>
      </c>
      <c r="T59" s="28">
        <f>MAX(S59,L59)</f>
        <v/>
      </c>
      <c r="U59" s="28">
        <f>M59+N59</f>
        <v/>
      </c>
      <c r="V59" s="28">
        <f>IF(H59&gt;0,M59/H59,999)</f>
        <v/>
      </c>
      <c r="W59" s="28">
        <f>MAX(0,U59-MAX(R59+T59,H59*Assumptions!$B$10))</f>
        <v/>
      </c>
      <c r="X59" s="29">
        <f>W59*G59</f>
        <v/>
      </c>
      <c r="Y59" s="28">
        <f>IF(U59&lt;=R59,"REORDER NOW",IF(W59&gt;0,"EXCESS - pause orders / promote","OK"))</f>
        <v/>
      </c>
      <c r="Z59" s="28">
        <f>IF(Y59="REORDER NOW",T59,0)</f>
        <v/>
      </c>
    </row>
    <row r="60">
      <c r="A60" s="5" t="inlineStr">
        <is>
          <t>P0065</t>
        </is>
      </c>
      <c r="B60" s="5" t="inlineStr">
        <is>
          <t>Outdoor Item 065</t>
        </is>
      </c>
      <c r="C60" s="5" t="inlineStr">
        <is>
          <t>Outdoor &amp; Garden</t>
        </is>
      </c>
      <c r="D60" s="5" t="inlineStr">
        <is>
          <t>S09</t>
        </is>
      </c>
      <c r="E60" s="5" t="inlineStr">
        <is>
          <t>B</t>
        </is>
      </c>
      <c r="F60" s="5" t="inlineStr">
        <is>
          <t>X</t>
        </is>
      </c>
      <c r="G60" s="22" t="n">
        <v>9.390000000000001</v>
      </c>
      <c r="H60" s="23" t="n">
        <v>2.408</v>
      </c>
      <c r="I60" s="23" t="n">
        <v>2.466</v>
      </c>
      <c r="J60" s="24" t="n">
        <v>13.138</v>
      </c>
      <c r="K60" s="24" t="n">
        <v>3.817</v>
      </c>
      <c r="L60" s="25" t="n">
        <v>150</v>
      </c>
      <c r="M60" s="25" t="n">
        <v>112</v>
      </c>
      <c r="N60" s="25" t="n">
        <v>0</v>
      </c>
      <c r="O60" s="26">
        <f>INDEX(Assumptions!$B$13:$B$15,MATCH(E60,Assumptions!$A$13:$A$15,0))</f>
        <v/>
      </c>
      <c r="P60" s="27">
        <f>NORMSINV(O60)</f>
        <v/>
      </c>
      <c r="Q60" s="28">
        <f>ROUNDUP(P60*SQRT(J60*I60^2+H60^2*K60^2),0)</f>
        <v/>
      </c>
      <c r="R60" s="28">
        <f>ROUNDUP(H60*J60+Q60,0)</f>
        <v/>
      </c>
      <c r="S60" s="28">
        <f>IF(H60&gt;0,ROUNDUP(SQRT(2*H60*365*Assumptions!$B$5/(Assumptions!$B$6*G60)),0),0)</f>
        <v/>
      </c>
      <c r="T60" s="28">
        <f>MAX(S60,L60)</f>
        <v/>
      </c>
      <c r="U60" s="28">
        <f>M60+N60</f>
        <v/>
      </c>
      <c r="V60" s="28">
        <f>IF(H60&gt;0,M60/H60,999)</f>
        <v/>
      </c>
      <c r="W60" s="28">
        <f>MAX(0,U60-MAX(R60+T60,H60*Assumptions!$B$10))</f>
        <v/>
      </c>
      <c r="X60" s="29">
        <f>W60*G60</f>
        <v/>
      </c>
      <c r="Y60" s="28">
        <f>IF(U60&lt;=R60,"REORDER NOW",IF(W60&gt;0,"EXCESS - pause orders / promote","OK"))</f>
        <v/>
      </c>
      <c r="Z60" s="28">
        <f>IF(Y60="REORDER NOW",T60,0)</f>
        <v/>
      </c>
    </row>
    <row r="61">
      <c r="A61" s="5" t="inlineStr">
        <is>
          <t>P0072</t>
        </is>
      </c>
      <c r="B61" s="5" t="inlineStr">
        <is>
          <t>Outdoor Item 072</t>
        </is>
      </c>
      <c r="C61" s="5" t="inlineStr">
        <is>
          <t>Outdoor &amp; Garden</t>
        </is>
      </c>
      <c r="D61" s="5" t="inlineStr">
        <is>
          <t>S07</t>
        </is>
      </c>
      <c r="E61" s="5" t="inlineStr">
        <is>
          <t>B</t>
        </is>
      </c>
      <c r="F61" s="5" t="inlineStr">
        <is>
          <t>Y</t>
        </is>
      </c>
      <c r="G61" s="22" t="n">
        <v>105.7</v>
      </c>
      <c r="H61" s="23" t="n">
        <v>0.802</v>
      </c>
      <c r="I61" s="23" t="n">
        <v>0.834</v>
      </c>
      <c r="J61" s="24" t="n">
        <v>14.688</v>
      </c>
      <c r="K61" s="24" t="n">
        <v>2.076</v>
      </c>
      <c r="L61" s="25" t="n">
        <v>100</v>
      </c>
      <c r="M61" s="25" t="n">
        <v>10</v>
      </c>
      <c r="N61" s="25" t="n">
        <v>0</v>
      </c>
      <c r="O61" s="26">
        <f>INDEX(Assumptions!$B$13:$B$15,MATCH(E61,Assumptions!$A$13:$A$15,0))</f>
        <v/>
      </c>
      <c r="P61" s="27">
        <f>NORMSINV(O61)</f>
        <v/>
      </c>
      <c r="Q61" s="28">
        <f>ROUNDUP(P61*SQRT(J61*I61^2+H61^2*K61^2),0)</f>
        <v/>
      </c>
      <c r="R61" s="28">
        <f>ROUNDUP(H61*J61+Q61,0)</f>
        <v/>
      </c>
      <c r="S61" s="28">
        <f>IF(H61&gt;0,ROUNDUP(SQRT(2*H61*365*Assumptions!$B$5/(Assumptions!$B$6*G61)),0),0)</f>
        <v/>
      </c>
      <c r="T61" s="28">
        <f>MAX(S61,L61)</f>
        <v/>
      </c>
      <c r="U61" s="28">
        <f>M61+N61</f>
        <v/>
      </c>
      <c r="V61" s="28">
        <f>IF(H61&gt;0,M61/H61,999)</f>
        <v/>
      </c>
      <c r="W61" s="28">
        <f>MAX(0,U61-MAX(R61+T61,H61*Assumptions!$B$10))</f>
        <v/>
      </c>
      <c r="X61" s="29">
        <f>W61*G61</f>
        <v/>
      </c>
      <c r="Y61" s="28">
        <f>IF(U61&lt;=R61,"REORDER NOW",IF(W61&gt;0,"EXCESS - pause orders / promote","OK"))</f>
        <v/>
      </c>
      <c r="Z61" s="28">
        <f>IF(Y61="REORDER NOW",T61,0)</f>
        <v/>
      </c>
    </row>
    <row r="62">
      <c r="A62" s="5" t="inlineStr">
        <is>
          <t>P0075</t>
        </is>
      </c>
      <c r="B62" s="5" t="inlineStr">
        <is>
          <t>Outdoor Item 075</t>
        </is>
      </c>
      <c r="C62" s="5" t="inlineStr">
        <is>
          <t>Outdoor &amp; Garden</t>
        </is>
      </c>
      <c r="D62" s="5" t="inlineStr">
        <is>
          <t>S10</t>
        </is>
      </c>
      <c r="E62" s="5" t="inlineStr">
        <is>
          <t>B</t>
        </is>
      </c>
      <c r="F62" s="5" t="inlineStr">
        <is>
          <t>Y</t>
        </is>
      </c>
      <c r="G62" s="22" t="n">
        <v>100.28</v>
      </c>
      <c r="H62" s="23" t="n">
        <v>0.357</v>
      </c>
      <c r="I62" s="23" t="n">
        <v>0.63</v>
      </c>
      <c r="J62" s="24" t="n">
        <v>21.86</v>
      </c>
      <c r="K62" s="24" t="n">
        <v>2.931</v>
      </c>
      <c r="L62" s="25" t="n">
        <v>120</v>
      </c>
      <c r="M62" s="25" t="n">
        <v>84</v>
      </c>
      <c r="N62" s="25" t="n">
        <v>0</v>
      </c>
      <c r="O62" s="26">
        <f>INDEX(Assumptions!$B$13:$B$15,MATCH(E62,Assumptions!$A$13:$A$15,0))</f>
        <v/>
      </c>
      <c r="P62" s="27">
        <f>NORMSINV(O62)</f>
        <v/>
      </c>
      <c r="Q62" s="28">
        <f>ROUNDUP(P62*SQRT(J62*I62^2+H62^2*K62^2),0)</f>
        <v/>
      </c>
      <c r="R62" s="28">
        <f>ROUNDUP(H62*J62+Q62,0)</f>
        <v/>
      </c>
      <c r="S62" s="28">
        <f>IF(H62&gt;0,ROUNDUP(SQRT(2*H62*365*Assumptions!$B$5/(Assumptions!$B$6*G62)),0),0)</f>
        <v/>
      </c>
      <c r="T62" s="28">
        <f>MAX(S62,L62)</f>
        <v/>
      </c>
      <c r="U62" s="28">
        <f>M62+N62</f>
        <v/>
      </c>
      <c r="V62" s="28">
        <f>IF(H62&gt;0,M62/H62,999)</f>
        <v/>
      </c>
      <c r="W62" s="28">
        <f>MAX(0,U62-MAX(R62+T62,H62*Assumptions!$B$10))</f>
        <v/>
      </c>
      <c r="X62" s="29">
        <f>W62*G62</f>
        <v/>
      </c>
      <c r="Y62" s="28">
        <f>IF(U62&lt;=R62,"REORDER NOW",IF(W62&gt;0,"EXCESS - pause orders / promote","OK"))</f>
        <v/>
      </c>
      <c r="Z62" s="28">
        <f>IF(Y62="REORDER NOW",T62,0)</f>
        <v/>
      </c>
    </row>
    <row r="63">
      <c r="A63" s="5" t="inlineStr">
        <is>
          <t>P0080</t>
        </is>
      </c>
      <c r="B63" s="5" t="inlineStr">
        <is>
          <t>Outdoor Item 080</t>
        </is>
      </c>
      <c r="C63" s="5" t="inlineStr">
        <is>
          <t>Outdoor &amp; Garden</t>
        </is>
      </c>
      <c r="D63" s="5" t="inlineStr">
        <is>
          <t>S09</t>
        </is>
      </c>
      <c r="E63" s="5" t="inlineStr">
        <is>
          <t>B</t>
        </is>
      </c>
      <c r="F63" s="5" t="inlineStr">
        <is>
          <t>Y</t>
        </is>
      </c>
      <c r="G63" s="22" t="n">
        <v>121.19</v>
      </c>
      <c r="H63" s="23" t="n">
        <v>0.214</v>
      </c>
      <c r="I63" s="23" t="n">
        <v>0.5679999999999999</v>
      </c>
      <c r="J63" s="24" t="n">
        <v>13.138</v>
      </c>
      <c r="K63" s="24" t="n">
        <v>3.817</v>
      </c>
      <c r="L63" s="25" t="n">
        <v>150</v>
      </c>
      <c r="M63" s="25" t="n">
        <v>12</v>
      </c>
      <c r="N63" s="25" t="n">
        <v>0</v>
      </c>
      <c r="O63" s="26">
        <f>INDEX(Assumptions!$B$13:$B$15,MATCH(E63,Assumptions!$A$13:$A$15,0))</f>
        <v/>
      </c>
      <c r="P63" s="27">
        <f>NORMSINV(O63)</f>
        <v/>
      </c>
      <c r="Q63" s="28">
        <f>ROUNDUP(P63*SQRT(J63*I63^2+H63^2*K63^2),0)</f>
        <v/>
      </c>
      <c r="R63" s="28">
        <f>ROUNDUP(H63*J63+Q63,0)</f>
        <v/>
      </c>
      <c r="S63" s="28">
        <f>IF(H63&gt;0,ROUNDUP(SQRT(2*H63*365*Assumptions!$B$5/(Assumptions!$B$6*G63)),0),0)</f>
        <v/>
      </c>
      <c r="T63" s="28">
        <f>MAX(S63,L63)</f>
        <v/>
      </c>
      <c r="U63" s="28">
        <f>M63+N63</f>
        <v/>
      </c>
      <c r="V63" s="28">
        <f>IF(H63&gt;0,M63/H63,999)</f>
        <v/>
      </c>
      <c r="W63" s="28">
        <f>MAX(0,U63-MAX(R63+T63,H63*Assumptions!$B$10))</f>
        <v/>
      </c>
      <c r="X63" s="29">
        <f>W63*G63</f>
        <v/>
      </c>
      <c r="Y63" s="28">
        <f>IF(U63&lt;=R63,"REORDER NOW",IF(W63&gt;0,"EXCESS - pause orders / promote","OK"))</f>
        <v/>
      </c>
      <c r="Z63" s="28">
        <f>IF(Y63="REORDER NOW",T63,0)</f>
        <v/>
      </c>
    </row>
    <row r="64">
      <c r="A64" s="5" t="inlineStr">
        <is>
          <t>P0086</t>
        </is>
      </c>
      <c r="B64" s="5" t="inlineStr">
        <is>
          <t>Office Item 086</t>
        </is>
      </c>
      <c r="C64" s="5" t="inlineStr">
        <is>
          <t>Office Supplies</t>
        </is>
      </c>
      <c r="D64" s="5" t="inlineStr">
        <is>
          <t>S07</t>
        </is>
      </c>
      <c r="E64" s="5" t="inlineStr">
        <is>
          <t>B</t>
        </is>
      </c>
      <c r="F64" s="5" t="inlineStr">
        <is>
          <t>X</t>
        </is>
      </c>
      <c r="G64" s="22" t="n">
        <v>21.96</v>
      </c>
      <c r="H64" s="23" t="n">
        <v>4.869</v>
      </c>
      <c r="I64" s="23" t="n">
        <v>1.856</v>
      </c>
      <c r="J64" s="24" t="n">
        <v>14.688</v>
      </c>
      <c r="K64" s="24" t="n">
        <v>2.076</v>
      </c>
      <c r="L64" s="25" t="n">
        <v>100</v>
      </c>
      <c r="M64" s="25" t="n">
        <v>408</v>
      </c>
      <c r="N64" s="25" t="n">
        <v>0</v>
      </c>
      <c r="O64" s="26">
        <f>INDEX(Assumptions!$B$13:$B$15,MATCH(E64,Assumptions!$A$13:$A$15,0))</f>
        <v/>
      </c>
      <c r="P64" s="27">
        <f>NORMSINV(O64)</f>
        <v/>
      </c>
      <c r="Q64" s="28">
        <f>ROUNDUP(P64*SQRT(J64*I64^2+H64^2*K64^2),0)</f>
        <v/>
      </c>
      <c r="R64" s="28">
        <f>ROUNDUP(H64*J64+Q64,0)</f>
        <v/>
      </c>
      <c r="S64" s="28">
        <f>IF(H64&gt;0,ROUNDUP(SQRT(2*H64*365*Assumptions!$B$5/(Assumptions!$B$6*G64)),0),0)</f>
        <v/>
      </c>
      <c r="T64" s="28">
        <f>MAX(S64,L64)</f>
        <v/>
      </c>
      <c r="U64" s="28">
        <f>M64+N64</f>
        <v/>
      </c>
      <c r="V64" s="28">
        <f>IF(H64&gt;0,M64/H64,999)</f>
        <v/>
      </c>
      <c r="W64" s="28">
        <f>MAX(0,U64-MAX(R64+T64,H64*Assumptions!$B$10))</f>
        <v/>
      </c>
      <c r="X64" s="29">
        <f>W64*G64</f>
        <v/>
      </c>
      <c r="Y64" s="28">
        <f>IF(U64&lt;=R64,"REORDER NOW",IF(W64&gt;0,"EXCESS - pause orders / promote","OK"))</f>
        <v/>
      </c>
      <c r="Z64" s="28">
        <f>IF(Y64="REORDER NOW",T64,0)</f>
        <v/>
      </c>
    </row>
    <row r="65">
      <c r="A65" s="5" t="inlineStr">
        <is>
          <t>P0091</t>
        </is>
      </c>
      <c r="B65" s="5" t="inlineStr">
        <is>
          <t>Office Item 091</t>
        </is>
      </c>
      <c r="C65" s="5" t="inlineStr">
        <is>
          <t>Office Supplies</t>
        </is>
      </c>
      <c r="D65" s="5" t="inlineStr">
        <is>
          <t>S07</t>
        </is>
      </c>
      <c r="E65" s="5" t="inlineStr">
        <is>
          <t>B</t>
        </is>
      </c>
      <c r="F65" s="5" t="inlineStr">
        <is>
          <t>X</t>
        </is>
      </c>
      <c r="G65" s="22" t="n">
        <v>15.47</v>
      </c>
      <c r="H65" s="23" t="n">
        <v>11.197</v>
      </c>
      <c r="I65" s="23" t="n">
        <v>3.138</v>
      </c>
      <c r="J65" s="24" t="n">
        <v>14.688</v>
      </c>
      <c r="K65" s="24" t="n">
        <v>2.076</v>
      </c>
      <c r="L65" s="25" t="n">
        <v>100</v>
      </c>
      <c r="M65" s="25" t="n">
        <v>0</v>
      </c>
      <c r="N65" s="25" t="n">
        <v>122</v>
      </c>
      <c r="O65" s="26">
        <f>INDEX(Assumptions!$B$13:$B$15,MATCH(E65,Assumptions!$A$13:$A$15,0))</f>
        <v/>
      </c>
      <c r="P65" s="27">
        <f>NORMSINV(O65)</f>
        <v/>
      </c>
      <c r="Q65" s="28">
        <f>ROUNDUP(P65*SQRT(J65*I65^2+H65^2*K65^2),0)</f>
        <v/>
      </c>
      <c r="R65" s="28">
        <f>ROUNDUP(H65*J65+Q65,0)</f>
        <v/>
      </c>
      <c r="S65" s="28">
        <f>IF(H65&gt;0,ROUNDUP(SQRT(2*H65*365*Assumptions!$B$5/(Assumptions!$B$6*G65)),0),0)</f>
        <v/>
      </c>
      <c r="T65" s="28">
        <f>MAX(S65,L65)</f>
        <v/>
      </c>
      <c r="U65" s="28">
        <f>M65+N65</f>
        <v/>
      </c>
      <c r="V65" s="28">
        <f>IF(H65&gt;0,M65/H65,999)</f>
        <v/>
      </c>
      <c r="W65" s="28">
        <f>MAX(0,U65-MAX(R65+T65,H65*Assumptions!$B$10))</f>
        <v/>
      </c>
      <c r="X65" s="29">
        <f>W65*G65</f>
        <v/>
      </c>
      <c r="Y65" s="28">
        <f>IF(U65&lt;=R65,"REORDER NOW",IF(W65&gt;0,"EXCESS - pause orders / promote","OK"))</f>
        <v/>
      </c>
      <c r="Z65" s="28">
        <f>IF(Y65="REORDER NOW",T65,0)</f>
        <v/>
      </c>
    </row>
    <row r="66">
      <c r="A66" s="5" t="inlineStr">
        <is>
          <t>P0093</t>
        </is>
      </c>
      <c r="B66" s="5" t="inlineStr">
        <is>
          <t>Office Item 093</t>
        </is>
      </c>
      <c r="C66" s="5" t="inlineStr">
        <is>
          <t>Office Supplies</t>
        </is>
      </c>
      <c r="D66" s="5" t="inlineStr">
        <is>
          <t>S06</t>
        </is>
      </c>
      <c r="E66" s="5" t="inlineStr">
        <is>
          <t>B</t>
        </is>
      </c>
      <c r="F66" s="5" t="inlineStr">
        <is>
          <t>X</t>
        </is>
      </c>
      <c r="G66" s="22" t="n">
        <v>21.13</v>
      </c>
      <c r="H66" s="23" t="n">
        <v>2.794</v>
      </c>
      <c r="I66" s="23" t="n">
        <v>1.665</v>
      </c>
      <c r="J66" s="24" t="n">
        <v>13.277</v>
      </c>
      <c r="K66" s="24" t="n">
        <v>2.821</v>
      </c>
      <c r="L66" s="25" t="n">
        <v>48</v>
      </c>
      <c r="M66" s="25" t="n">
        <v>116</v>
      </c>
      <c r="N66" s="25" t="n">
        <v>0</v>
      </c>
      <c r="O66" s="26">
        <f>INDEX(Assumptions!$B$13:$B$15,MATCH(E66,Assumptions!$A$13:$A$15,0))</f>
        <v/>
      </c>
      <c r="P66" s="27">
        <f>NORMSINV(O66)</f>
        <v/>
      </c>
      <c r="Q66" s="28">
        <f>ROUNDUP(P66*SQRT(J66*I66^2+H66^2*K66^2),0)</f>
        <v/>
      </c>
      <c r="R66" s="28">
        <f>ROUNDUP(H66*J66+Q66,0)</f>
        <v/>
      </c>
      <c r="S66" s="28">
        <f>IF(H66&gt;0,ROUNDUP(SQRT(2*H66*365*Assumptions!$B$5/(Assumptions!$B$6*G66)),0),0)</f>
        <v/>
      </c>
      <c r="T66" s="28">
        <f>MAX(S66,L66)</f>
        <v/>
      </c>
      <c r="U66" s="28">
        <f>M66+N66</f>
        <v/>
      </c>
      <c r="V66" s="28">
        <f>IF(H66&gt;0,M66/H66,999)</f>
        <v/>
      </c>
      <c r="W66" s="28">
        <f>MAX(0,U66-MAX(R66+T66,H66*Assumptions!$B$10))</f>
        <v/>
      </c>
      <c r="X66" s="29">
        <f>W66*G66</f>
        <v/>
      </c>
      <c r="Y66" s="28">
        <f>IF(U66&lt;=R66,"REORDER NOW",IF(W66&gt;0,"EXCESS - pause orders / promote","OK"))</f>
        <v/>
      </c>
      <c r="Z66" s="28">
        <f>IF(Y66="REORDER NOW",T66,0)</f>
        <v/>
      </c>
    </row>
    <row r="67">
      <c r="A67" s="5" t="inlineStr">
        <is>
          <t>P0094</t>
        </is>
      </c>
      <c r="B67" s="5" t="inlineStr">
        <is>
          <t>Office Item 094</t>
        </is>
      </c>
      <c r="C67" s="5" t="inlineStr">
        <is>
          <t>Office Supplies</t>
        </is>
      </c>
      <c r="D67" s="5" t="inlineStr">
        <is>
          <t>S06</t>
        </is>
      </c>
      <c r="E67" s="5" t="inlineStr">
        <is>
          <t>B</t>
        </is>
      </c>
      <c r="F67" s="5" t="inlineStr">
        <is>
          <t>X</t>
        </is>
      </c>
      <c r="G67" s="22" t="n">
        <v>13.26</v>
      </c>
      <c r="H67" s="23" t="n">
        <v>5.499</v>
      </c>
      <c r="I67" s="23" t="n">
        <v>2.514</v>
      </c>
      <c r="J67" s="24" t="n">
        <v>13.277</v>
      </c>
      <c r="K67" s="24" t="n">
        <v>2.821</v>
      </c>
      <c r="L67" s="25" t="n">
        <v>48</v>
      </c>
      <c r="M67" s="25" t="n">
        <v>111</v>
      </c>
      <c r="N67" s="25" t="n">
        <v>0</v>
      </c>
      <c r="O67" s="26">
        <f>INDEX(Assumptions!$B$13:$B$15,MATCH(E67,Assumptions!$A$13:$A$15,0))</f>
        <v/>
      </c>
      <c r="P67" s="27">
        <f>NORMSINV(O67)</f>
        <v/>
      </c>
      <c r="Q67" s="28">
        <f>ROUNDUP(P67*SQRT(J67*I67^2+H67^2*K67^2),0)</f>
        <v/>
      </c>
      <c r="R67" s="28">
        <f>ROUNDUP(H67*J67+Q67,0)</f>
        <v/>
      </c>
      <c r="S67" s="28">
        <f>IF(H67&gt;0,ROUNDUP(SQRT(2*H67*365*Assumptions!$B$5/(Assumptions!$B$6*G67)),0),0)</f>
        <v/>
      </c>
      <c r="T67" s="28">
        <f>MAX(S67,L67)</f>
        <v/>
      </c>
      <c r="U67" s="28">
        <f>M67+N67</f>
        <v/>
      </c>
      <c r="V67" s="28">
        <f>IF(H67&gt;0,M67/H67,999)</f>
        <v/>
      </c>
      <c r="W67" s="28">
        <f>MAX(0,U67-MAX(R67+T67,H67*Assumptions!$B$10))</f>
        <v/>
      </c>
      <c r="X67" s="29">
        <f>W67*G67</f>
        <v/>
      </c>
      <c r="Y67" s="28">
        <f>IF(U67&lt;=R67,"REORDER NOW",IF(W67&gt;0,"EXCESS - pause orders / promote","OK"))</f>
        <v/>
      </c>
      <c r="Z67" s="28">
        <f>IF(Y67="REORDER NOW",T67,0)</f>
        <v/>
      </c>
    </row>
    <row r="68">
      <c r="A68" s="5" t="inlineStr">
        <is>
          <t>P0095</t>
        </is>
      </c>
      <c r="B68" s="5" t="inlineStr">
        <is>
          <t>Office Item 095</t>
        </is>
      </c>
      <c r="C68" s="5" t="inlineStr">
        <is>
          <t>Office Supplies</t>
        </is>
      </c>
      <c r="D68" s="5" t="inlineStr">
        <is>
          <t>S10</t>
        </is>
      </c>
      <c r="E68" s="5" t="inlineStr">
        <is>
          <t>B</t>
        </is>
      </c>
      <c r="F68" s="5" t="inlineStr">
        <is>
          <t>X</t>
        </is>
      </c>
      <c r="G68" s="22" t="n">
        <v>2.98</v>
      </c>
      <c r="H68" s="23" t="n">
        <v>24.833</v>
      </c>
      <c r="I68" s="23" t="n">
        <v>5.316</v>
      </c>
      <c r="J68" s="24" t="n">
        <v>21.86</v>
      </c>
      <c r="K68" s="24" t="n">
        <v>2.931</v>
      </c>
      <c r="L68" s="25" t="n">
        <v>120</v>
      </c>
      <c r="M68" s="25" t="n">
        <v>523</v>
      </c>
      <c r="N68" s="25" t="n">
        <v>414</v>
      </c>
      <c r="O68" s="26">
        <f>INDEX(Assumptions!$B$13:$B$15,MATCH(E68,Assumptions!$A$13:$A$15,0))</f>
        <v/>
      </c>
      <c r="P68" s="27">
        <f>NORMSINV(O68)</f>
        <v/>
      </c>
      <c r="Q68" s="28">
        <f>ROUNDUP(P68*SQRT(J68*I68^2+H68^2*K68^2),0)</f>
        <v/>
      </c>
      <c r="R68" s="28">
        <f>ROUNDUP(H68*J68+Q68,0)</f>
        <v/>
      </c>
      <c r="S68" s="28">
        <f>IF(H68&gt;0,ROUNDUP(SQRT(2*H68*365*Assumptions!$B$5/(Assumptions!$B$6*G68)),0),0)</f>
        <v/>
      </c>
      <c r="T68" s="28">
        <f>MAX(S68,L68)</f>
        <v/>
      </c>
      <c r="U68" s="28">
        <f>M68+N68</f>
        <v/>
      </c>
      <c r="V68" s="28">
        <f>IF(H68&gt;0,M68/H68,999)</f>
        <v/>
      </c>
      <c r="W68" s="28">
        <f>MAX(0,U68-MAX(R68+T68,H68*Assumptions!$B$10))</f>
        <v/>
      </c>
      <c r="X68" s="29">
        <f>W68*G68</f>
        <v/>
      </c>
      <c r="Y68" s="28">
        <f>IF(U68&lt;=R68,"REORDER NOW",IF(W68&gt;0,"EXCESS - pause orders / promote","OK"))</f>
        <v/>
      </c>
      <c r="Z68" s="28">
        <f>IF(Y68="REORDER NOW",T68,0)</f>
        <v/>
      </c>
    </row>
    <row r="69">
      <c r="A69" s="5" t="inlineStr">
        <is>
          <t>P0096</t>
        </is>
      </c>
      <c r="B69" s="5" t="inlineStr">
        <is>
          <t>Office Item 096</t>
        </is>
      </c>
      <c r="C69" s="5" t="inlineStr">
        <is>
          <t>Office Supplies</t>
        </is>
      </c>
      <c r="D69" s="5" t="inlineStr">
        <is>
          <t>S02</t>
        </is>
      </c>
      <c r="E69" s="5" t="inlineStr">
        <is>
          <t>B</t>
        </is>
      </c>
      <c r="F69" s="5" t="inlineStr">
        <is>
          <t>Y</t>
        </is>
      </c>
      <c r="G69" s="22" t="n">
        <v>13.64</v>
      </c>
      <c r="H69" s="23" t="n">
        <v>2.005</v>
      </c>
      <c r="I69" s="23" t="n">
        <v>1.51</v>
      </c>
      <c r="J69" s="24" t="n">
        <v>10.431</v>
      </c>
      <c r="K69" s="24" t="n">
        <v>1.544</v>
      </c>
      <c r="L69" s="25" t="n">
        <v>50</v>
      </c>
      <c r="M69" s="25" t="n">
        <v>430</v>
      </c>
      <c r="N69" s="25" t="n">
        <v>0</v>
      </c>
      <c r="O69" s="26">
        <f>INDEX(Assumptions!$B$13:$B$15,MATCH(E69,Assumptions!$A$13:$A$15,0))</f>
        <v/>
      </c>
      <c r="P69" s="27">
        <f>NORMSINV(O69)</f>
        <v/>
      </c>
      <c r="Q69" s="28">
        <f>ROUNDUP(P69*SQRT(J69*I69^2+H69^2*K69^2),0)</f>
        <v/>
      </c>
      <c r="R69" s="28">
        <f>ROUNDUP(H69*J69+Q69,0)</f>
        <v/>
      </c>
      <c r="S69" s="28">
        <f>IF(H69&gt;0,ROUNDUP(SQRT(2*H69*365*Assumptions!$B$5/(Assumptions!$B$6*G69)),0),0)</f>
        <v/>
      </c>
      <c r="T69" s="28">
        <f>MAX(S69,L69)</f>
        <v/>
      </c>
      <c r="U69" s="28">
        <f>M69+N69</f>
        <v/>
      </c>
      <c r="V69" s="28">
        <f>IF(H69&gt;0,M69/H69,999)</f>
        <v/>
      </c>
      <c r="W69" s="28">
        <f>MAX(0,U69-MAX(R69+T69,H69*Assumptions!$B$10))</f>
        <v/>
      </c>
      <c r="X69" s="29">
        <f>W69*G69</f>
        <v/>
      </c>
      <c r="Y69" s="28">
        <f>IF(U69&lt;=R69,"REORDER NOW",IF(W69&gt;0,"EXCESS - pause orders / promote","OK"))</f>
        <v/>
      </c>
      <c r="Z69" s="28">
        <f>IF(Y69="REORDER NOW",T69,0)</f>
        <v/>
      </c>
    </row>
    <row r="70">
      <c r="A70" s="5" t="inlineStr">
        <is>
          <t>P0098</t>
        </is>
      </c>
      <c r="B70" s="5" t="inlineStr">
        <is>
          <t>Office Item 098</t>
        </is>
      </c>
      <c r="C70" s="5" t="inlineStr">
        <is>
          <t>Office Supplies</t>
        </is>
      </c>
      <c r="D70" s="5" t="inlineStr">
        <is>
          <t>S10</t>
        </is>
      </c>
      <c r="E70" s="5" t="inlineStr">
        <is>
          <t>B</t>
        </is>
      </c>
      <c r="F70" s="5" t="inlineStr">
        <is>
          <t>X</t>
        </is>
      </c>
      <c r="G70" s="22" t="n">
        <v>18.9</v>
      </c>
      <c r="H70" s="23" t="n">
        <v>4.319</v>
      </c>
      <c r="I70" s="23" t="n">
        <v>1.321</v>
      </c>
      <c r="J70" s="24" t="n">
        <v>21.86</v>
      </c>
      <c r="K70" s="24" t="n">
        <v>2.931</v>
      </c>
      <c r="L70" s="25" t="n">
        <v>120</v>
      </c>
      <c r="M70" s="25" t="n">
        <v>33</v>
      </c>
      <c r="N70" s="25" t="n">
        <v>120</v>
      </c>
      <c r="O70" s="26">
        <f>INDEX(Assumptions!$B$13:$B$15,MATCH(E70,Assumptions!$A$13:$A$15,0))</f>
        <v/>
      </c>
      <c r="P70" s="27">
        <f>NORMSINV(O70)</f>
        <v/>
      </c>
      <c r="Q70" s="28">
        <f>ROUNDUP(P70*SQRT(J70*I70^2+H70^2*K70^2),0)</f>
        <v/>
      </c>
      <c r="R70" s="28">
        <f>ROUNDUP(H70*J70+Q70,0)</f>
        <v/>
      </c>
      <c r="S70" s="28">
        <f>IF(H70&gt;0,ROUNDUP(SQRT(2*H70*365*Assumptions!$B$5/(Assumptions!$B$6*G70)),0),0)</f>
        <v/>
      </c>
      <c r="T70" s="28">
        <f>MAX(S70,L70)</f>
        <v/>
      </c>
      <c r="U70" s="28">
        <f>M70+N70</f>
        <v/>
      </c>
      <c r="V70" s="28">
        <f>IF(H70&gt;0,M70/H70,999)</f>
        <v/>
      </c>
      <c r="W70" s="28">
        <f>MAX(0,U70-MAX(R70+T70,H70*Assumptions!$B$10))</f>
        <v/>
      </c>
      <c r="X70" s="29">
        <f>W70*G70</f>
        <v/>
      </c>
      <c r="Y70" s="28">
        <f>IF(U70&lt;=R70,"REORDER NOW",IF(W70&gt;0,"EXCESS - pause orders / promote","OK"))</f>
        <v/>
      </c>
      <c r="Z70" s="28">
        <f>IF(Y70="REORDER NOW",T70,0)</f>
        <v/>
      </c>
    </row>
    <row r="71">
      <c r="A71" s="5" t="inlineStr">
        <is>
          <t>P0101</t>
        </is>
      </c>
      <c r="B71" s="5" t="inlineStr">
        <is>
          <t>Office Item 101</t>
        </is>
      </c>
      <c r="C71" s="5" t="inlineStr">
        <is>
          <t>Office Supplies</t>
        </is>
      </c>
      <c r="D71" s="5" t="inlineStr">
        <is>
          <t>S07</t>
        </is>
      </c>
      <c r="E71" s="5" t="inlineStr">
        <is>
          <t>B</t>
        </is>
      </c>
      <c r="F71" s="5" t="inlineStr">
        <is>
          <t>X</t>
        </is>
      </c>
      <c r="G71" s="22" t="n">
        <v>9.43</v>
      </c>
      <c r="H71" s="23" t="n">
        <v>5.427</v>
      </c>
      <c r="I71" s="23" t="n">
        <v>2.08</v>
      </c>
      <c r="J71" s="24" t="n">
        <v>14.688</v>
      </c>
      <c r="K71" s="24" t="n">
        <v>2.076</v>
      </c>
      <c r="L71" s="25" t="n">
        <v>100</v>
      </c>
      <c r="M71" s="25" t="n">
        <v>105</v>
      </c>
      <c r="N71" s="25" t="n">
        <v>0</v>
      </c>
      <c r="O71" s="26">
        <f>INDEX(Assumptions!$B$13:$B$15,MATCH(E71,Assumptions!$A$13:$A$15,0))</f>
        <v/>
      </c>
      <c r="P71" s="27">
        <f>NORMSINV(O71)</f>
        <v/>
      </c>
      <c r="Q71" s="28">
        <f>ROUNDUP(P71*SQRT(J71*I71^2+H71^2*K71^2),0)</f>
        <v/>
      </c>
      <c r="R71" s="28">
        <f>ROUNDUP(H71*J71+Q71,0)</f>
        <v/>
      </c>
      <c r="S71" s="28">
        <f>IF(H71&gt;0,ROUNDUP(SQRT(2*H71*365*Assumptions!$B$5/(Assumptions!$B$6*G71)),0),0)</f>
        <v/>
      </c>
      <c r="T71" s="28">
        <f>MAX(S71,L71)</f>
        <v/>
      </c>
      <c r="U71" s="28">
        <f>M71+N71</f>
        <v/>
      </c>
      <c r="V71" s="28">
        <f>IF(H71&gt;0,M71/H71,999)</f>
        <v/>
      </c>
      <c r="W71" s="28">
        <f>MAX(0,U71-MAX(R71+T71,H71*Assumptions!$B$10))</f>
        <v/>
      </c>
      <c r="X71" s="29">
        <f>W71*G71</f>
        <v/>
      </c>
      <c r="Y71" s="28">
        <f>IF(U71&lt;=R71,"REORDER NOW",IF(W71&gt;0,"EXCESS - pause orders / promote","OK"))</f>
        <v/>
      </c>
      <c r="Z71" s="28">
        <f>IF(Y71="REORDER NOW",T71,0)</f>
        <v/>
      </c>
    </row>
    <row r="72">
      <c r="A72" s="5" t="inlineStr">
        <is>
          <t>P0102</t>
        </is>
      </c>
      <c r="B72" s="5" t="inlineStr">
        <is>
          <t>Office Item 102</t>
        </is>
      </c>
      <c r="C72" s="5" t="inlineStr">
        <is>
          <t>Office Supplies</t>
        </is>
      </c>
      <c r="D72" s="5" t="inlineStr">
        <is>
          <t>S06</t>
        </is>
      </c>
      <c r="E72" s="5" t="inlineStr">
        <is>
          <t>B</t>
        </is>
      </c>
      <c r="F72" s="5" t="inlineStr">
        <is>
          <t>X</t>
        </is>
      </c>
      <c r="G72" s="22" t="n">
        <v>15.09</v>
      </c>
      <c r="H72" s="23" t="n">
        <v>3.6</v>
      </c>
      <c r="I72" s="23" t="n">
        <v>1.564</v>
      </c>
      <c r="J72" s="24" t="n">
        <v>13.277</v>
      </c>
      <c r="K72" s="24" t="n">
        <v>2.821</v>
      </c>
      <c r="L72" s="25" t="n">
        <v>48</v>
      </c>
      <c r="M72" s="25" t="n">
        <v>101</v>
      </c>
      <c r="N72" s="25" t="n">
        <v>0</v>
      </c>
      <c r="O72" s="26">
        <f>INDEX(Assumptions!$B$13:$B$15,MATCH(E72,Assumptions!$A$13:$A$15,0))</f>
        <v/>
      </c>
      <c r="P72" s="27">
        <f>NORMSINV(O72)</f>
        <v/>
      </c>
      <c r="Q72" s="28">
        <f>ROUNDUP(P72*SQRT(J72*I72^2+H72^2*K72^2),0)</f>
        <v/>
      </c>
      <c r="R72" s="28">
        <f>ROUNDUP(H72*J72+Q72,0)</f>
        <v/>
      </c>
      <c r="S72" s="28">
        <f>IF(H72&gt;0,ROUNDUP(SQRT(2*H72*365*Assumptions!$B$5/(Assumptions!$B$6*G72)),0),0)</f>
        <v/>
      </c>
      <c r="T72" s="28">
        <f>MAX(S72,L72)</f>
        <v/>
      </c>
      <c r="U72" s="28">
        <f>M72+N72</f>
        <v/>
      </c>
      <c r="V72" s="28">
        <f>IF(H72&gt;0,M72/H72,999)</f>
        <v/>
      </c>
      <c r="W72" s="28">
        <f>MAX(0,U72-MAX(R72+T72,H72*Assumptions!$B$10))</f>
        <v/>
      </c>
      <c r="X72" s="29">
        <f>W72*G72</f>
        <v/>
      </c>
      <c r="Y72" s="28">
        <f>IF(U72&lt;=R72,"REORDER NOW",IF(W72&gt;0,"EXCESS - pause orders / promote","OK"))</f>
        <v/>
      </c>
      <c r="Z72" s="28">
        <f>IF(Y72="REORDER NOW",T72,0)</f>
        <v/>
      </c>
    </row>
    <row r="73">
      <c r="A73" s="5" t="inlineStr">
        <is>
          <t>P0109</t>
        </is>
      </c>
      <c r="B73" s="5" t="inlineStr">
        <is>
          <t>Office Item 109</t>
        </is>
      </c>
      <c r="C73" s="5" t="inlineStr">
        <is>
          <t>Office Supplies</t>
        </is>
      </c>
      <c r="D73" s="5" t="inlineStr">
        <is>
          <t>S07</t>
        </is>
      </c>
      <c r="E73" s="5" t="inlineStr">
        <is>
          <t>B</t>
        </is>
      </c>
      <c r="F73" s="5" t="inlineStr">
        <is>
          <t>X</t>
        </is>
      </c>
      <c r="G73" s="22" t="n">
        <v>7.38</v>
      </c>
      <c r="H73" s="23" t="n">
        <v>12.833</v>
      </c>
      <c r="I73" s="23" t="n">
        <v>2.841</v>
      </c>
      <c r="J73" s="24" t="n">
        <v>14.688</v>
      </c>
      <c r="K73" s="24" t="n">
        <v>2.076</v>
      </c>
      <c r="L73" s="25" t="n">
        <v>100</v>
      </c>
      <c r="M73" s="25" t="n">
        <v>240</v>
      </c>
      <c r="N73" s="25" t="n">
        <v>0</v>
      </c>
      <c r="O73" s="26">
        <f>INDEX(Assumptions!$B$13:$B$15,MATCH(E73,Assumptions!$A$13:$A$15,0))</f>
        <v/>
      </c>
      <c r="P73" s="27">
        <f>NORMSINV(O73)</f>
        <v/>
      </c>
      <c r="Q73" s="28">
        <f>ROUNDUP(P73*SQRT(J73*I73^2+H73^2*K73^2),0)</f>
        <v/>
      </c>
      <c r="R73" s="28">
        <f>ROUNDUP(H73*J73+Q73,0)</f>
        <v/>
      </c>
      <c r="S73" s="28">
        <f>IF(H73&gt;0,ROUNDUP(SQRT(2*H73*365*Assumptions!$B$5/(Assumptions!$B$6*G73)),0),0)</f>
        <v/>
      </c>
      <c r="T73" s="28">
        <f>MAX(S73,L73)</f>
        <v/>
      </c>
      <c r="U73" s="28">
        <f>M73+N73</f>
        <v/>
      </c>
      <c r="V73" s="28">
        <f>IF(H73&gt;0,M73/H73,999)</f>
        <v/>
      </c>
      <c r="W73" s="28">
        <f>MAX(0,U73-MAX(R73+T73,H73*Assumptions!$B$10))</f>
        <v/>
      </c>
      <c r="X73" s="29">
        <f>W73*G73</f>
        <v/>
      </c>
      <c r="Y73" s="28">
        <f>IF(U73&lt;=R73,"REORDER NOW",IF(W73&gt;0,"EXCESS - pause orders / promote","OK"))</f>
        <v/>
      </c>
      <c r="Z73" s="28">
        <f>IF(Y73="REORDER NOW",T73,0)</f>
        <v/>
      </c>
    </row>
    <row r="74">
      <c r="A74" s="5" t="inlineStr">
        <is>
          <t>P0112</t>
        </is>
      </c>
      <c r="B74" s="5" t="inlineStr">
        <is>
          <t>Health Item 112</t>
        </is>
      </c>
      <c r="C74" s="5" t="inlineStr">
        <is>
          <t>Health &amp; Safety</t>
        </is>
      </c>
      <c r="D74" s="5" t="inlineStr">
        <is>
          <t>S07</t>
        </is>
      </c>
      <c r="E74" s="5" t="inlineStr">
        <is>
          <t>B</t>
        </is>
      </c>
      <c r="F74" s="5" t="inlineStr">
        <is>
          <t>X</t>
        </is>
      </c>
      <c r="G74" s="22" t="n">
        <v>6.17</v>
      </c>
      <c r="H74" s="23" t="n">
        <v>20.429</v>
      </c>
      <c r="I74" s="23" t="n">
        <v>4.634</v>
      </c>
      <c r="J74" s="24" t="n">
        <v>14.688</v>
      </c>
      <c r="K74" s="24" t="n">
        <v>2.076</v>
      </c>
      <c r="L74" s="25" t="n">
        <v>100</v>
      </c>
      <c r="M74" s="25" t="n">
        <v>31</v>
      </c>
      <c r="N74" s="25" t="n">
        <v>364</v>
      </c>
      <c r="O74" s="26">
        <f>INDEX(Assumptions!$B$13:$B$15,MATCH(E74,Assumptions!$A$13:$A$15,0))</f>
        <v/>
      </c>
      <c r="P74" s="27">
        <f>NORMSINV(O74)</f>
        <v/>
      </c>
      <c r="Q74" s="28">
        <f>ROUNDUP(P74*SQRT(J74*I74^2+H74^2*K74^2),0)</f>
        <v/>
      </c>
      <c r="R74" s="28">
        <f>ROUNDUP(H74*J74+Q74,0)</f>
        <v/>
      </c>
      <c r="S74" s="28">
        <f>IF(H74&gt;0,ROUNDUP(SQRT(2*H74*365*Assumptions!$B$5/(Assumptions!$B$6*G74)),0),0)</f>
        <v/>
      </c>
      <c r="T74" s="28">
        <f>MAX(S74,L74)</f>
        <v/>
      </c>
      <c r="U74" s="28">
        <f>M74+N74</f>
        <v/>
      </c>
      <c r="V74" s="28">
        <f>IF(H74&gt;0,M74/H74,999)</f>
        <v/>
      </c>
      <c r="W74" s="28">
        <f>MAX(0,U74-MAX(R74+T74,H74*Assumptions!$B$10))</f>
        <v/>
      </c>
      <c r="X74" s="29">
        <f>W74*G74</f>
        <v/>
      </c>
      <c r="Y74" s="28">
        <f>IF(U74&lt;=R74,"REORDER NOW",IF(W74&gt;0,"EXCESS - pause orders / promote","OK"))</f>
        <v/>
      </c>
      <c r="Z74" s="28">
        <f>IF(Y74="REORDER NOW",T74,0)</f>
        <v/>
      </c>
    </row>
    <row r="75">
      <c r="A75" s="5" t="inlineStr">
        <is>
          <t>P0115</t>
        </is>
      </c>
      <c r="B75" s="5" t="inlineStr">
        <is>
          <t>Health Item 115</t>
        </is>
      </c>
      <c r="C75" s="5" t="inlineStr">
        <is>
          <t>Health &amp; Safety</t>
        </is>
      </c>
      <c r="D75" s="5" t="inlineStr">
        <is>
          <t>S04</t>
        </is>
      </c>
      <c r="E75" s="5" t="inlineStr">
        <is>
          <t>B</t>
        </is>
      </c>
      <c r="F75" s="5" t="inlineStr">
        <is>
          <t>X</t>
        </is>
      </c>
      <c r="G75" s="22" t="n">
        <v>38.09</v>
      </c>
      <c r="H75" s="23" t="n">
        <v>2.221</v>
      </c>
      <c r="I75" s="23" t="n">
        <v>1.151</v>
      </c>
      <c r="J75" s="24" t="n">
        <v>39.643</v>
      </c>
      <c r="K75" s="24" t="n">
        <v>7.265</v>
      </c>
      <c r="L75" s="25" t="n">
        <v>200</v>
      </c>
      <c r="M75" s="25" t="n">
        <v>148</v>
      </c>
      <c r="N75" s="25" t="n">
        <v>0</v>
      </c>
      <c r="O75" s="26">
        <f>INDEX(Assumptions!$B$13:$B$15,MATCH(E75,Assumptions!$A$13:$A$15,0))</f>
        <v/>
      </c>
      <c r="P75" s="27">
        <f>NORMSINV(O75)</f>
        <v/>
      </c>
      <c r="Q75" s="28">
        <f>ROUNDUP(P75*SQRT(J75*I75^2+H75^2*K75^2),0)</f>
        <v/>
      </c>
      <c r="R75" s="28">
        <f>ROUNDUP(H75*J75+Q75,0)</f>
        <v/>
      </c>
      <c r="S75" s="28">
        <f>IF(H75&gt;0,ROUNDUP(SQRT(2*H75*365*Assumptions!$B$5/(Assumptions!$B$6*G75)),0),0)</f>
        <v/>
      </c>
      <c r="T75" s="28">
        <f>MAX(S75,L75)</f>
        <v/>
      </c>
      <c r="U75" s="28">
        <f>M75+N75</f>
        <v/>
      </c>
      <c r="V75" s="28">
        <f>IF(H75&gt;0,M75/H75,999)</f>
        <v/>
      </c>
      <c r="W75" s="28">
        <f>MAX(0,U75-MAX(R75+T75,H75*Assumptions!$B$10))</f>
        <v/>
      </c>
      <c r="X75" s="29">
        <f>W75*G75</f>
        <v/>
      </c>
      <c r="Y75" s="28">
        <f>IF(U75&lt;=R75,"REORDER NOW",IF(W75&gt;0,"EXCESS - pause orders / promote","OK"))</f>
        <v/>
      </c>
      <c r="Z75" s="28">
        <f>IF(Y75="REORDER NOW",T75,0)</f>
        <v/>
      </c>
    </row>
    <row r="76">
      <c r="A76" s="5" t="inlineStr">
        <is>
          <t>P0119</t>
        </is>
      </c>
      <c r="B76" s="5" t="inlineStr">
        <is>
          <t>Health Item 119</t>
        </is>
      </c>
      <c r="C76" s="5" t="inlineStr">
        <is>
          <t>Health &amp; Safety</t>
        </is>
      </c>
      <c r="D76" s="5" t="inlineStr">
        <is>
          <t>S09</t>
        </is>
      </c>
      <c r="E76" s="5" t="inlineStr">
        <is>
          <t>B</t>
        </is>
      </c>
      <c r="F76" s="5" t="inlineStr">
        <is>
          <t>X</t>
        </is>
      </c>
      <c r="G76" s="22" t="n">
        <v>10.13</v>
      </c>
      <c r="H76" s="23" t="n">
        <v>14.735</v>
      </c>
      <c r="I76" s="23" t="n">
        <v>3.642</v>
      </c>
      <c r="J76" s="24" t="n">
        <v>13.138</v>
      </c>
      <c r="K76" s="24" t="n">
        <v>3.817</v>
      </c>
      <c r="L76" s="25" t="n">
        <v>150</v>
      </c>
      <c r="M76" s="25" t="n">
        <v>0</v>
      </c>
      <c r="N76" s="25" t="n">
        <v>260</v>
      </c>
      <c r="O76" s="26">
        <f>INDEX(Assumptions!$B$13:$B$15,MATCH(E76,Assumptions!$A$13:$A$15,0))</f>
        <v/>
      </c>
      <c r="P76" s="27">
        <f>NORMSINV(O76)</f>
        <v/>
      </c>
      <c r="Q76" s="28">
        <f>ROUNDUP(P76*SQRT(J76*I76^2+H76^2*K76^2),0)</f>
        <v/>
      </c>
      <c r="R76" s="28">
        <f>ROUNDUP(H76*J76+Q76,0)</f>
        <v/>
      </c>
      <c r="S76" s="28">
        <f>IF(H76&gt;0,ROUNDUP(SQRT(2*H76*365*Assumptions!$B$5/(Assumptions!$B$6*G76)),0),0)</f>
        <v/>
      </c>
      <c r="T76" s="28">
        <f>MAX(S76,L76)</f>
        <v/>
      </c>
      <c r="U76" s="28">
        <f>M76+N76</f>
        <v/>
      </c>
      <c r="V76" s="28">
        <f>IF(H76&gt;0,M76/H76,999)</f>
        <v/>
      </c>
      <c r="W76" s="28">
        <f>MAX(0,U76-MAX(R76+T76,H76*Assumptions!$B$10))</f>
        <v/>
      </c>
      <c r="X76" s="29">
        <f>W76*G76</f>
        <v/>
      </c>
      <c r="Y76" s="28">
        <f>IF(U76&lt;=R76,"REORDER NOW",IF(W76&gt;0,"EXCESS - pause orders / promote","OK"))</f>
        <v/>
      </c>
      <c r="Z76" s="28">
        <f>IF(Y76="REORDER NOW",T76,0)</f>
        <v/>
      </c>
    </row>
    <row r="77">
      <c r="A77" s="5" t="inlineStr">
        <is>
          <t>P0124</t>
        </is>
      </c>
      <c r="B77" s="5" t="inlineStr">
        <is>
          <t>Health Item 124</t>
        </is>
      </c>
      <c r="C77" s="5" t="inlineStr">
        <is>
          <t>Health &amp; Safety</t>
        </is>
      </c>
      <c r="D77" s="5" t="inlineStr">
        <is>
          <t>S07</t>
        </is>
      </c>
      <c r="E77" s="5" t="inlineStr">
        <is>
          <t>B</t>
        </is>
      </c>
      <c r="F77" s="5" t="inlineStr">
        <is>
          <t>X</t>
        </is>
      </c>
      <c r="G77" s="22" t="n">
        <v>44.87</v>
      </c>
      <c r="H77" s="23" t="n">
        <v>3.858</v>
      </c>
      <c r="I77" s="23" t="n">
        <v>1.465</v>
      </c>
      <c r="J77" s="24" t="n">
        <v>14.688</v>
      </c>
      <c r="K77" s="24" t="n">
        <v>2.076</v>
      </c>
      <c r="L77" s="25" t="n">
        <v>100</v>
      </c>
      <c r="M77" s="25" t="n">
        <v>70</v>
      </c>
      <c r="N77" s="25" t="n">
        <v>0</v>
      </c>
      <c r="O77" s="26">
        <f>INDEX(Assumptions!$B$13:$B$15,MATCH(E77,Assumptions!$A$13:$A$15,0))</f>
        <v/>
      </c>
      <c r="P77" s="27">
        <f>NORMSINV(O77)</f>
        <v/>
      </c>
      <c r="Q77" s="28">
        <f>ROUNDUP(P77*SQRT(J77*I77^2+H77^2*K77^2),0)</f>
        <v/>
      </c>
      <c r="R77" s="28">
        <f>ROUNDUP(H77*J77+Q77,0)</f>
        <v/>
      </c>
      <c r="S77" s="28">
        <f>IF(H77&gt;0,ROUNDUP(SQRT(2*H77*365*Assumptions!$B$5/(Assumptions!$B$6*G77)),0),0)</f>
        <v/>
      </c>
      <c r="T77" s="28">
        <f>MAX(S77,L77)</f>
        <v/>
      </c>
      <c r="U77" s="28">
        <f>M77+N77</f>
        <v/>
      </c>
      <c r="V77" s="28">
        <f>IF(H77&gt;0,M77/H77,999)</f>
        <v/>
      </c>
      <c r="W77" s="28">
        <f>MAX(0,U77-MAX(R77+T77,H77*Assumptions!$B$10))</f>
        <v/>
      </c>
      <c r="X77" s="29">
        <f>W77*G77</f>
        <v/>
      </c>
      <c r="Y77" s="28">
        <f>IF(U77&lt;=R77,"REORDER NOW",IF(W77&gt;0,"EXCESS - pause orders / promote","OK"))</f>
        <v/>
      </c>
      <c r="Z77" s="28">
        <f>IF(Y77="REORDER NOW",T77,0)</f>
        <v/>
      </c>
    </row>
    <row r="78">
      <c r="A78" s="5" t="inlineStr">
        <is>
          <t>P0125</t>
        </is>
      </c>
      <c r="B78" s="5" t="inlineStr">
        <is>
          <t>Health Item 125</t>
        </is>
      </c>
      <c r="C78" s="5" t="inlineStr">
        <is>
          <t>Health &amp; Safety</t>
        </is>
      </c>
      <c r="D78" s="5" t="inlineStr">
        <is>
          <t>S06</t>
        </is>
      </c>
      <c r="E78" s="5" t="inlineStr">
        <is>
          <t>B</t>
        </is>
      </c>
      <c r="F78" s="5" t="inlineStr">
        <is>
          <t>X</t>
        </is>
      </c>
      <c r="G78" s="22" t="n">
        <v>6.48</v>
      </c>
      <c r="H78" s="23" t="n">
        <v>32.875</v>
      </c>
      <c r="I78" s="23" t="n">
        <v>5.584</v>
      </c>
      <c r="J78" s="24" t="n">
        <v>13.277</v>
      </c>
      <c r="K78" s="24" t="n">
        <v>2.821</v>
      </c>
      <c r="L78" s="25" t="n">
        <v>48</v>
      </c>
      <c r="M78" s="25" t="n">
        <v>521</v>
      </c>
      <c r="N78" s="25" t="n">
        <v>0</v>
      </c>
      <c r="O78" s="26">
        <f>INDEX(Assumptions!$B$13:$B$15,MATCH(E78,Assumptions!$A$13:$A$15,0))</f>
        <v/>
      </c>
      <c r="P78" s="27">
        <f>NORMSINV(O78)</f>
        <v/>
      </c>
      <c r="Q78" s="28">
        <f>ROUNDUP(P78*SQRT(J78*I78^2+H78^2*K78^2),0)</f>
        <v/>
      </c>
      <c r="R78" s="28">
        <f>ROUNDUP(H78*J78+Q78,0)</f>
        <v/>
      </c>
      <c r="S78" s="28">
        <f>IF(H78&gt;0,ROUNDUP(SQRT(2*H78*365*Assumptions!$B$5/(Assumptions!$B$6*G78)),0),0)</f>
        <v/>
      </c>
      <c r="T78" s="28">
        <f>MAX(S78,L78)</f>
        <v/>
      </c>
      <c r="U78" s="28">
        <f>M78+N78</f>
        <v/>
      </c>
      <c r="V78" s="28">
        <f>IF(H78&gt;0,M78/H78,999)</f>
        <v/>
      </c>
      <c r="W78" s="28">
        <f>MAX(0,U78-MAX(R78+T78,H78*Assumptions!$B$10))</f>
        <v/>
      </c>
      <c r="X78" s="29">
        <f>W78*G78</f>
        <v/>
      </c>
      <c r="Y78" s="28">
        <f>IF(U78&lt;=R78,"REORDER NOW",IF(W78&gt;0,"EXCESS - pause orders / promote","OK"))</f>
        <v/>
      </c>
      <c r="Z78" s="28">
        <f>IF(Y78="REORDER NOW",T78,0)</f>
        <v/>
      </c>
    </row>
    <row r="79">
      <c r="A79" s="5" t="inlineStr">
        <is>
          <t>P0128</t>
        </is>
      </c>
      <c r="B79" s="5" t="inlineStr">
        <is>
          <t>Health Item 128</t>
        </is>
      </c>
      <c r="C79" s="5" t="inlineStr">
        <is>
          <t>Health &amp; Safety</t>
        </is>
      </c>
      <c r="D79" s="5" t="inlineStr">
        <is>
          <t>S10</t>
        </is>
      </c>
      <c r="E79" s="5" t="inlineStr">
        <is>
          <t>B</t>
        </is>
      </c>
      <c r="F79" s="5" t="inlineStr">
        <is>
          <t>X</t>
        </is>
      </c>
      <c r="G79" s="22" t="n">
        <v>25.79</v>
      </c>
      <c r="H79" s="23" t="n">
        <v>6.43</v>
      </c>
      <c r="I79" s="23" t="n">
        <v>2.87</v>
      </c>
      <c r="J79" s="24" t="n">
        <v>21.86</v>
      </c>
      <c r="K79" s="24" t="n">
        <v>2.931</v>
      </c>
      <c r="L79" s="25" t="n">
        <v>120</v>
      </c>
      <c r="M79" s="25" t="n">
        <v>111</v>
      </c>
      <c r="N79" s="25" t="n">
        <v>0</v>
      </c>
      <c r="O79" s="26">
        <f>INDEX(Assumptions!$B$13:$B$15,MATCH(E79,Assumptions!$A$13:$A$15,0))</f>
        <v/>
      </c>
      <c r="P79" s="27">
        <f>NORMSINV(O79)</f>
        <v/>
      </c>
      <c r="Q79" s="28">
        <f>ROUNDUP(P79*SQRT(J79*I79^2+H79^2*K79^2),0)</f>
        <v/>
      </c>
      <c r="R79" s="28">
        <f>ROUNDUP(H79*J79+Q79,0)</f>
        <v/>
      </c>
      <c r="S79" s="28">
        <f>IF(H79&gt;0,ROUNDUP(SQRT(2*H79*365*Assumptions!$B$5/(Assumptions!$B$6*G79)),0),0)</f>
        <v/>
      </c>
      <c r="T79" s="28">
        <f>MAX(S79,L79)</f>
        <v/>
      </c>
      <c r="U79" s="28">
        <f>M79+N79</f>
        <v/>
      </c>
      <c r="V79" s="28">
        <f>IF(H79&gt;0,M79/H79,999)</f>
        <v/>
      </c>
      <c r="W79" s="28">
        <f>MAX(0,U79-MAX(R79+T79,H79*Assumptions!$B$10))</f>
        <v/>
      </c>
      <c r="X79" s="29">
        <f>W79*G79</f>
        <v/>
      </c>
      <c r="Y79" s="28">
        <f>IF(U79&lt;=R79,"REORDER NOW",IF(W79&gt;0,"EXCESS - pause orders / promote","OK"))</f>
        <v/>
      </c>
      <c r="Z79" s="28">
        <f>IF(Y79="REORDER NOW",T79,0)</f>
        <v/>
      </c>
    </row>
    <row r="80">
      <c r="A80" s="5" t="inlineStr">
        <is>
          <t>P0131</t>
        </is>
      </c>
      <c r="B80" s="5" t="inlineStr">
        <is>
          <t>Packaging Item 131</t>
        </is>
      </c>
      <c r="C80" s="5" t="inlineStr">
        <is>
          <t>Packaging</t>
        </is>
      </c>
      <c r="D80" s="5" t="inlineStr">
        <is>
          <t>S09</t>
        </is>
      </c>
      <c r="E80" s="5" t="inlineStr">
        <is>
          <t>B</t>
        </is>
      </c>
      <c r="F80" s="5" t="inlineStr">
        <is>
          <t>X</t>
        </is>
      </c>
      <c r="G80" s="22" t="n">
        <v>3.82</v>
      </c>
      <c r="H80" s="23" t="n">
        <v>25.291</v>
      </c>
      <c r="I80" s="23" t="n">
        <v>5.563</v>
      </c>
      <c r="J80" s="24" t="n">
        <v>13.138</v>
      </c>
      <c r="K80" s="24" t="n">
        <v>3.817</v>
      </c>
      <c r="L80" s="25" t="n">
        <v>150</v>
      </c>
      <c r="M80" s="25" t="n">
        <v>621</v>
      </c>
      <c r="N80" s="25" t="n">
        <v>0</v>
      </c>
      <c r="O80" s="26">
        <f>INDEX(Assumptions!$B$13:$B$15,MATCH(E80,Assumptions!$A$13:$A$15,0))</f>
        <v/>
      </c>
      <c r="P80" s="27">
        <f>NORMSINV(O80)</f>
        <v/>
      </c>
      <c r="Q80" s="28">
        <f>ROUNDUP(P80*SQRT(J80*I80^2+H80^2*K80^2),0)</f>
        <v/>
      </c>
      <c r="R80" s="28">
        <f>ROUNDUP(H80*J80+Q80,0)</f>
        <v/>
      </c>
      <c r="S80" s="28">
        <f>IF(H80&gt;0,ROUNDUP(SQRT(2*H80*365*Assumptions!$B$5/(Assumptions!$B$6*G80)),0),0)</f>
        <v/>
      </c>
      <c r="T80" s="28">
        <f>MAX(S80,L80)</f>
        <v/>
      </c>
      <c r="U80" s="28">
        <f>M80+N80</f>
        <v/>
      </c>
      <c r="V80" s="28">
        <f>IF(H80&gt;0,M80/H80,999)</f>
        <v/>
      </c>
      <c r="W80" s="28">
        <f>MAX(0,U80-MAX(R80+T80,H80*Assumptions!$B$10))</f>
        <v/>
      </c>
      <c r="X80" s="29">
        <f>W80*G80</f>
        <v/>
      </c>
      <c r="Y80" s="28">
        <f>IF(U80&lt;=R80,"REORDER NOW",IF(W80&gt;0,"EXCESS - pause orders / promote","OK"))</f>
        <v/>
      </c>
      <c r="Z80" s="28">
        <f>IF(Y80="REORDER NOW",T80,0)</f>
        <v/>
      </c>
    </row>
    <row r="81">
      <c r="A81" s="5" t="inlineStr">
        <is>
          <t>P0140</t>
        </is>
      </c>
      <c r="B81" s="5" t="inlineStr">
        <is>
          <t>Packaging Item 140</t>
        </is>
      </c>
      <c r="C81" s="5" t="inlineStr">
        <is>
          <t>Packaging</t>
        </is>
      </c>
      <c r="D81" s="5" t="inlineStr">
        <is>
          <t>S06</t>
        </is>
      </c>
      <c r="E81" s="5" t="inlineStr">
        <is>
          <t>B</t>
        </is>
      </c>
      <c r="F81" s="5" t="inlineStr">
        <is>
          <t>X</t>
        </is>
      </c>
      <c r="G81" s="22" t="n">
        <v>5.45</v>
      </c>
      <c r="H81" s="23" t="n">
        <v>12.188</v>
      </c>
      <c r="I81" s="23" t="n">
        <v>3.855</v>
      </c>
      <c r="J81" s="24" t="n">
        <v>13.277</v>
      </c>
      <c r="K81" s="24" t="n">
        <v>2.821</v>
      </c>
      <c r="L81" s="25" t="n">
        <v>48</v>
      </c>
      <c r="M81" s="25" t="n">
        <v>127</v>
      </c>
      <c r="N81" s="25" t="n">
        <v>0</v>
      </c>
      <c r="O81" s="26">
        <f>INDEX(Assumptions!$B$13:$B$15,MATCH(E81,Assumptions!$A$13:$A$15,0))</f>
        <v/>
      </c>
      <c r="P81" s="27">
        <f>NORMSINV(O81)</f>
        <v/>
      </c>
      <c r="Q81" s="28">
        <f>ROUNDUP(P81*SQRT(J81*I81^2+H81^2*K81^2),0)</f>
        <v/>
      </c>
      <c r="R81" s="28">
        <f>ROUNDUP(H81*J81+Q81,0)</f>
        <v/>
      </c>
      <c r="S81" s="28">
        <f>IF(H81&gt;0,ROUNDUP(SQRT(2*H81*365*Assumptions!$B$5/(Assumptions!$B$6*G81)),0),0)</f>
        <v/>
      </c>
      <c r="T81" s="28">
        <f>MAX(S81,L81)</f>
        <v/>
      </c>
      <c r="U81" s="28">
        <f>M81+N81</f>
        <v/>
      </c>
      <c r="V81" s="28">
        <f>IF(H81&gt;0,M81/H81,999)</f>
        <v/>
      </c>
      <c r="W81" s="28">
        <f>MAX(0,U81-MAX(R81+T81,H81*Assumptions!$B$10))</f>
        <v/>
      </c>
      <c r="X81" s="29">
        <f>W81*G81</f>
        <v/>
      </c>
      <c r="Y81" s="28">
        <f>IF(U81&lt;=R81,"REORDER NOW",IF(W81&gt;0,"EXCESS - pause orders / promote","OK"))</f>
        <v/>
      </c>
      <c r="Z81" s="28">
        <f>IF(Y81="REORDER NOW",T81,0)</f>
        <v/>
      </c>
    </row>
    <row r="82">
      <c r="A82" s="5" t="inlineStr">
        <is>
          <t>P0148</t>
        </is>
      </c>
      <c r="B82" s="5" t="inlineStr">
        <is>
          <t>Packaging Item 148</t>
        </is>
      </c>
      <c r="C82" s="5" t="inlineStr">
        <is>
          <t>Packaging</t>
        </is>
      </c>
      <c r="D82" s="5" t="inlineStr">
        <is>
          <t>S04</t>
        </is>
      </c>
      <c r="E82" s="5" t="inlineStr">
        <is>
          <t>B</t>
        </is>
      </c>
      <c r="F82" s="5" t="inlineStr">
        <is>
          <t>Y</t>
        </is>
      </c>
      <c r="G82" s="22" t="n">
        <v>12.5</v>
      </c>
      <c r="H82" s="23" t="n">
        <v>1.491</v>
      </c>
      <c r="I82" s="23" t="n">
        <v>1.19</v>
      </c>
      <c r="J82" s="24" t="n">
        <v>39.643</v>
      </c>
      <c r="K82" s="24" t="n">
        <v>7.265</v>
      </c>
      <c r="L82" s="25" t="n">
        <v>200</v>
      </c>
      <c r="M82" s="25" t="n">
        <v>307</v>
      </c>
      <c r="N82" s="25" t="n">
        <v>0</v>
      </c>
      <c r="O82" s="26">
        <f>INDEX(Assumptions!$B$13:$B$15,MATCH(E82,Assumptions!$A$13:$A$15,0))</f>
        <v/>
      </c>
      <c r="P82" s="27">
        <f>NORMSINV(O82)</f>
        <v/>
      </c>
      <c r="Q82" s="28">
        <f>ROUNDUP(P82*SQRT(J82*I82^2+H82^2*K82^2),0)</f>
        <v/>
      </c>
      <c r="R82" s="28">
        <f>ROUNDUP(H82*J82+Q82,0)</f>
        <v/>
      </c>
      <c r="S82" s="28">
        <f>IF(H82&gt;0,ROUNDUP(SQRT(2*H82*365*Assumptions!$B$5/(Assumptions!$B$6*G82)),0),0)</f>
        <v/>
      </c>
      <c r="T82" s="28">
        <f>MAX(S82,L82)</f>
        <v/>
      </c>
      <c r="U82" s="28">
        <f>M82+N82</f>
        <v/>
      </c>
      <c r="V82" s="28">
        <f>IF(H82&gt;0,M82/H82,999)</f>
        <v/>
      </c>
      <c r="W82" s="28">
        <f>MAX(0,U82-MAX(R82+T82,H82*Assumptions!$B$10))</f>
        <v/>
      </c>
      <c r="X82" s="29">
        <f>W82*G82</f>
        <v/>
      </c>
      <c r="Y82" s="28">
        <f>IF(U82&lt;=R82,"REORDER NOW",IF(W82&gt;0,"EXCESS - pause orders / promote","OK"))</f>
        <v/>
      </c>
      <c r="Z82" s="28">
        <f>IF(Y82="REORDER NOW",T82,0)</f>
        <v/>
      </c>
    </row>
    <row r="83">
      <c r="A83" s="5" t="inlineStr">
        <is>
          <t>P0008</t>
        </is>
      </c>
      <c r="B83" s="5" t="inlineStr">
        <is>
          <t>Electronics Item 008</t>
        </is>
      </c>
      <c r="C83" s="5" t="inlineStr">
        <is>
          <t>Electronics</t>
        </is>
      </c>
      <c r="D83" s="5" t="inlineStr">
        <is>
          <t>S08</t>
        </is>
      </c>
      <c r="E83" s="5" t="inlineStr">
        <is>
          <t>C</t>
        </is>
      </c>
      <c r="F83" s="5" t="inlineStr">
        <is>
          <t>Y</t>
        </is>
      </c>
      <c r="G83" s="22" t="n">
        <v>38.2</v>
      </c>
      <c r="H83" s="23" t="n">
        <v>0.531</v>
      </c>
      <c r="I83" s="23" t="n">
        <v>0.955</v>
      </c>
      <c r="J83" s="24" t="n">
        <v>9.132</v>
      </c>
      <c r="K83" s="24" t="n">
        <v>1.033</v>
      </c>
      <c r="L83" s="25" t="n">
        <v>12</v>
      </c>
      <c r="M83" s="25" t="n">
        <v>9</v>
      </c>
      <c r="N83" s="25" t="n">
        <v>70</v>
      </c>
      <c r="O83" s="26">
        <f>INDEX(Assumptions!$B$13:$B$15,MATCH(E83,Assumptions!$A$13:$A$15,0))</f>
        <v/>
      </c>
      <c r="P83" s="27">
        <f>NORMSINV(O83)</f>
        <v/>
      </c>
      <c r="Q83" s="28">
        <f>ROUNDUP(P83*SQRT(J83*I83^2+H83^2*K83^2),0)</f>
        <v/>
      </c>
      <c r="R83" s="28">
        <f>ROUNDUP(H83*J83+Q83,0)</f>
        <v/>
      </c>
      <c r="S83" s="28">
        <f>IF(H83&gt;0,ROUNDUP(SQRT(2*H83*365*Assumptions!$B$5/(Assumptions!$B$6*G83)),0),0)</f>
        <v/>
      </c>
      <c r="T83" s="28">
        <f>MAX(S83,L83)</f>
        <v/>
      </c>
      <c r="U83" s="28">
        <f>M83+N83</f>
        <v/>
      </c>
      <c r="V83" s="28">
        <f>IF(H83&gt;0,M83/H83,999)</f>
        <v/>
      </c>
      <c r="W83" s="28">
        <f>MAX(0,U83-MAX(R83+T83,H83*Assumptions!$B$10))</f>
        <v/>
      </c>
      <c r="X83" s="29">
        <f>W83*G83</f>
        <v/>
      </c>
      <c r="Y83" s="28">
        <f>IF(U83&lt;=R83,"REORDER NOW",IF(W83&gt;0,"EXCESS - pause orders / promote","OK"))</f>
        <v/>
      </c>
      <c r="Z83" s="28">
        <f>IF(Y83="REORDER NOW",T83,0)</f>
        <v/>
      </c>
    </row>
    <row r="84">
      <c r="A84" s="5" t="inlineStr">
        <is>
          <t>P0011</t>
        </is>
      </c>
      <c r="B84" s="5" t="inlineStr">
        <is>
          <t>Electronics Item 011</t>
        </is>
      </c>
      <c r="C84" s="5" t="inlineStr">
        <is>
          <t>Electronics</t>
        </is>
      </c>
      <c r="D84" s="5" t="inlineStr">
        <is>
          <t>S04</t>
        </is>
      </c>
      <c r="E84" s="5" t="inlineStr">
        <is>
          <t>C</t>
        </is>
      </c>
      <c r="F84" s="5" t="inlineStr">
        <is>
          <t>Y</t>
        </is>
      </c>
      <c r="G84" s="22" t="n">
        <v>44</v>
      </c>
      <c r="H84" s="23" t="n">
        <v>0.099</v>
      </c>
      <c r="I84" s="23" t="n">
        <v>0.386</v>
      </c>
      <c r="J84" s="24" t="n">
        <v>39.643</v>
      </c>
      <c r="K84" s="24" t="n">
        <v>7.265</v>
      </c>
      <c r="L84" s="25" t="n">
        <v>200</v>
      </c>
      <c r="M84" s="25" t="n">
        <v>111</v>
      </c>
      <c r="N84" s="25" t="n">
        <v>0</v>
      </c>
      <c r="O84" s="26">
        <f>INDEX(Assumptions!$B$13:$B$15,MATCH(E84,Assumptions!$A$13:$A$15,0))</f>
        <v/>
      </c>
      <c r="P84" s="27">
        <f>NORMSINV(O84)</f>
        <v/>
      </c>
      <c r="Q84" s="28">
        <f>ROUNDUP(P84*SQRT(J84*I84^2+H84^2*K84^2),0)</f>
        <v/>
      </c>
      <c r="R84" s="28">
        <f>ROUNDUP(H84*J84+Q84,0)</f>
        <v/>
      </c>
      <c r="S84" s="28">
        <f>IF(H84&gt;0,ROUNDUP(SQRT(2*H84*365*Assumptions!$B$5/(Assumptions!$B$6*G84)),0),0)</f>
        <v/>
      </c>
      <c r="T84" s="28">
        <f>MAX(S84,L84)</f>
        <v/>
      </c>
      <c r="U84" s="28">
        <f>M84+N84</f>
        <v/>
      </c>
      <c r="V84" s="28">
        <f>IF(H84&gt;0,M84/H84,999)</f>
        <v/>
      </c>
      <c r="W84" s="28">
        <f>MAX(0,U84-MAX(R84+T84,H84*Assumptions!$B$10))</f>
        <v/>
      </c>
      <c r="X84" s="29">
        <f>W84*G84</f>
        <v/>
      </c>
      <c r="Y84" s="28">
        <f>IF(U84&lt;=R84,"REORDER NOW",IF(W84&gt;0,"EXCESS - pause orders / promote","OK"))</f>
        <v/>
      </c>
      <c r="Z84" s="28">
        <f>IF(Y84="REORDER NOW",T84,0)</f>
        <v/>
      </c>
    </row>
    <row r="85">
      <c r="A85" s="5" t="inlineStr">
        <is>
          <t>P0015</t>
        </is>
      </c>
      <c r="B85" s="5" t="inlineStr">
        <is>
          <t>Electronics Item 015</t>
        </is>
      </c>
      <c r="C85" s="5" t="inlineStr">
        <is>
          <t>Electronics</t>
        </is>
      </c>
      <c r="D85" s="5" t="inlineStr">
        <is>
          <t>S08</t>
        </is>
      </c>
      <c r="E85" s="5" t="inlineStr">
        <is>
          <t>C</t>
        </is>
      </c>
      <c r="F85" s="5" t="inlineStr">
        <is>
          <t>Y</t>
        </is>
      </c>
      <c r="G85" s="22" t="n">
        <v>38.08</v>
      </c>
      <c r="H85" s="23" t="n">
        <v>0.529</v>
      </c>
      <c r="I85" s="23" t="n">
        <v>0.903</v>
      </c>
      <c r="J85" s="24" t="n">
        <v>9.132</v>
      </c>
      <c r="K85" s="24" t="n">
        <v>1.033</v>
      </c>
      <c r="L85" s="25" t="n">
        <v>12</v>
      </c>
      <c r="M85" s="25" t="n">
        <v>13</v>
      </c>
      <c r="N85" s="25" t="n">
        <v>0</v>
      </c>
      <c r="O85" s="26">
        <f>INDEX(Assumptions!$B$13:$B$15,MATCH(E85,Assumptions!$A$13:$A$15,0))</f>
        <v/>
      </c>
      <c r="P85" s="27">
        <f>NORMSINV(O85)</f>
        <v/>
      </c>
      <c r="Q85" s="28">
        <f>ROUNDUP(P85*SQRT(J85*I85^2+H85^2*K85^2),0)</f>
        <v/>
      </c>
      <c r="R85" s="28">
        <f>ROUNDUP(H85*J85+Q85,0)</f>
        <v/>
      </c>
      <c r="S85" s="28">
        <f>IF(H85&gt;0,ROUNDUP(SQRT(2*H85*365*Assumptions!$B$5/(Assumptions!$B$6*G85)),0),0)</f>
        <v/>
      </c>
      <c r="T85" s="28">
        <f>MAX(S85,L85)</f>
        <v/>
      </c>
      <c r="U85" s="28">
        <f>M85+N85</f>
        <v/>
      </c>
      <c r="V85" s="28">
        <f>IF(H85&gt;0,M85/H85,999)</f>
        <v/>
      </c>
      <c r="W85" s="28">
        <f>MAX(0,U85-MAX(R85+T85,H85*Assumptions!$B$10))</f>
        <v/>
      </c>
      <c r="X85" s="29">
        <f>W85*G85</f>
        <v/>
      </c>
      <c r="Y85" s="28">
        <f>IF(U85&lt;=R85,"REORDER NOW",IF(W85&gt;0,"EXCESS - pause orders / promote","OK"))</f>
        <v/>
      </c>
      <c r="Z85" s="28">
        <f>IF(Y85="REORDER NOW",T85,0)</f>
        <v/>
      </c>
    </row>
    <row r="86">
      <c r="A86" s="5" t="inlineStr">
        <is>
          <t>P0026</t>
        </is>
      </c>
      <c r="B86" s="5" t="inlineStr">
        <is>
          <t>Home Item 026</t>
        </is>
      </c>
      <c r="C86" s="5" t="inlineStr">
        <is>
          <t>Home &amp; Kitchen</t>
        </is>
      </c>
      <c r="D86" s="5" t="inlineStr">
        <is>
          <t>S05</t>
        </is>
      </c>
      <c r="E86" s="5" t="inlineStr">
        <is>
          <t>C</t>
        </is>
      </c>
      <c r="F86" s="5" t="inlineStr">
        <is>
          <t>X</t>
        </is>
      </c>
      <c r="G86" s="22" t="n">
        <v>8.949999999999999</v>
      </c>
      <c r="H86" s="23" t="n">
        <v>0.859</v>
      </c>
      <c r="I86" s="23" t="n">
        <v>1.06</v>
      </c>
      <c r="J86" s="24" t="n">
        <v>8.19</v>
      </c>
      <c r="K86" s="24" t="n">
        <v>1.086</v>
      </c>
      <c r="L86" s="25" t="n">
        <v>24</v>
      </c>
      <c r="M86" s="25" t="n">
        <v>4</v>
      </c>
      <c r="N86" s="25" t="n">
        <v>25</v>
      </c>
      <c r="O86" s="26">
        <f>INDEX(Assumptions!$B$13:$B$15,MATCH(E86,Assumptions!$A$13:$A$15,0))</f>
        <v/>
      </c>
      <c r="P86" s="27">
        <f>NORMSINV(O86)</f>
        <v/>
      </c>
      <c r="Q86" s="28">
        <f>ROUNDUP(P86*SQRT(J86*I86^2+H86^2*K86^2),0)</f>
        <v/>
      </c>
      <c r="R86" s="28">
        <f>ROUNDUP(H86*J86+Q86,0)</f>
        <v/>
      </c>
      <c r="S86" s="28">
        <f>IF(H86&gt;0,ROUNDUP(SQRT(2*H86*365*Assumptions!$B$5/(Assumptions!$B$6*G86)),0),0)</f>
        <v/>
      </c>
      <c r="T86" s="28">
        <f>MAX(S86,L86)</f>
        <v/>
      </c>
      <c r="U86" s="28">
        <f>M86+N86</f>
        <v/>
      </c>
      <c r="V86" s="28">
        <f>IF(H86&gt;0,M86/H86,999)</f>
        <v/>
      </c>
      <c r="W86" s="28">
        <f>MAX(0,U86-MAX(R86+T86,H86*Assumptions!$B$10))</f>
        <v/>
      </c>
      <c r="X86" s="29">
        <f>W86*G86</f>
        <v/>
      </c>
      <c r="Y86" s="28">
        <f>IF(U86&lt;=R86,"REORDER NOW",IF(W86&gt;0,"EXCESS - pause orders / promote","OK"))</f>
        <v/>
      </c>
      <c r="Z86" s="28">
        <f>IF(Y86="REORDER NOW",T86,0)</f>
        <v/>
      </c>
    </row>
    <row r="87">
      <c r="A87" s="5" t="inlineStr">
        <is>
          <t>P0028</t>
        </is>
      </c>
      <c r="B87" s="5" t="inlineStr">
        <is>
          <t>Home Item 028</t>
        </is>
      </c>
      <c r="C87" s="5" t="inlineStr">
        <is>
          <t>Home &amp; Kitchen</t>
        </is>
      </c>
      <c r="D87" s="5" t="inlineStr">
        <is>
          <t>S04</t>
        </is>
      </c>
      <c r="E87" s="5" t="inlineStr">
        <is>
          <t>C</t>
        </is>
      </c>
      <c r="F87" s="5" t="inlineStr">
        <is>
          <t>Y</t>
        </is>
      </c>
      <c r="G87" s="22" t="n">
        <v>30.71</v>
      </c>
      <c r="H87" s="23" t="n">
        <v>0.917</v>
      </c>
      <c r="I87" s="23" t="n">
        <v>1.225</v>
      </c>
      <c r="J87" s="24" t="n">
        <v>39.643</v>
      </c>
      <c r="K87" s="24" t="n">
        <v>7.265</v>
      </c>
      <c r="L87" s="25" t="n">
        <v>200</v>
      </c>
      <c r="M87" s="25" t="n">
        <v>87</v>
      </c>
      <c r="N87" s="25" t="n">
        <v>0</v>
      </c>
      <c r="O87" s="26">
        <f>INDEX(Assumptions!$B$13:$B$15,MATCH(E87,Assumptions!$A$13:$A$15,0))</f>
        <v/>
      </c>
      <c r="P87" s="27">
        <f>NORMSINV(O87)</f>
        <v/>
      </c>
      <c r="Q87" s="28">
        <f>ROUNDUP(P87*SQRT(J87*I87^2+H87^2*K87^2),0)</f>
        <v/>
      </c>
      <c r="R87" s="28">
        <f>ROUNDUP(H87*J87+Q87,0)</f>
        <v/>
      </c>
      <c r="S87" s="28">
        <f>IF(H87&gt;0,ROUNDUP(SQRT(2*H87*365*Assumptions!$B$5/(Assumptions!$B$6*G87)),0),0)</f>
        <v/>
      </c>
      <c r="T87" s="28">
        <f>MAX(S87,L87)</f>
        <v/>
      </c>
      <c r="U87" s="28">
        <f>M87+N87</f>
        <v/>
      </c>
      <c r="V87" s="28">
        <f>IF(H87&gt;0,M87/H87,999)</f>
        <v/>
      </c>
      <c r="W87" s="28">
        <f>MAX(0,U87-MAX(R87+T87,H87*Assumptions!$B$10))</f>
        <v/>
      </c>
      <c r="X87" s="29">
        <f>W87*G87</f>
        <v/>
      </c>
      <c r="Y87" s="28">
        <f>IF(U87&lt;=R87,"REORDER NOW",IF(W87&gt;0,"EXCESS - pause orders / promote","OK"))</f>
        <v/>
      </c>
      <c r="Z87" s="28">
        <f>IF(Y87="REORDER NOW",T87,0)</f>
        <v/>
      </c>
    </row>
    <row r="88">
      <c r="A88" s="5" t="inlineStr">
        <is>
          <t>P0029</t>
        </is>
      </c>
      <c r="B88" s="5" t="inlineStr">
        <is>
          <t>Home Item 029</t>
        </is>
      </c>
      <c r="C88" s="5" t="inlineStr">
        <is>
          <t>Home &amp; Kitchen</t>
        </is>
      </c>
      <c r="D88" s="5" t="inlineStr">
        <is>
          <t>S05</t>
        </is>
      </c>
      <c r="E88" s="5" t="inlineStr">
        <is>
          <t>C</t>
        </is>
      </c>
      <c r="F88" s="5" t="inlineStr">
        <is>
          <t>X</t>
        </is>
      </c>
      <c r="G88" s="22" t="n">
        <v>6.19</v>
      </c>
      <c r="H88" s="23" t="n">
        <v>3.182</v>
      </c>
      <c r="I88" s="23" t="n">
        <v>3.093</v>
      </c>
      <c r="J88" s="24" t="n">
        <v>8.19</v>
      </c>
      <c r="K88" s="24" t="n">
        <v>1.086</v>
      </c>
      <c r="L88" s="25" t="n">
        <v>24</v>
      </c>
      <c r="M88" s="25" t="n">
        <v>98</v>
      </c>
      <c r="N88" s="25" t="n">
        <v>0</v>
      </c>
      <c r="O88" s="26">
        <f>INDEX(Assumptions!$B$13:$B$15,MATCH(E88,Assumptions!$A$13:$A$15,0))</f>
        <v/>
      </c>
      <c r="P88" s="27">
        <f>NORMSINV(O88)</f>
        <v/>
      </c>
      <c r="Q88" s="28">
        <f>ROUNDUP(P88*SQRT(J88*I88^2+H88^2*K88^2),0)</f>
        <v/>
      </c>
      <c r="R88" s="28">
        <f>ROUNDUP(H88*J88+Q88,0)</f>
        <v/>
      </c>
      <c r="S88" s="28">
        <f>IF(H88&gt;0,ROUNDUP(SQRT(2*H88*365*Assumptions!$B$5/(Assumptions!$B$6*G88)),0),0)</f>
        <v/>
      </c>
      <c r="T88" s="28">
        <f>MAX(S88,L88)</f>
        <v/>
      </c>
      <c r="U88" s="28">
        <f>M88+N88</f>
        <v/>
      </c>
      <c r="V88" s="28">
        <f>IF(H88&gt;0,M88/H88,999)</f>
        <v/>
      </c>
      <c r="W88" s="28">
        <f>MAX(0,U88-MAX(R88+T88,H88*Assumptions!$B$10))</f>
        <v/>
      </c>
      <c r="X88" s="29">
        <f>W88*G88</f>
        <v/>
      </c>
      <c r="Y88" s="28">
        <f>IF(U88&lt;=R88,"REORDER NOW",IF(W88&gt;0,"EXCESS - pause orders / promote","OK"))</f>
        <v/>
      </c>
      <c r="Z88" s="28">
        <f>IF(Y88="REORDER NOW",T88,0)</f>
        <v/>
      </c>
    </row>
    <row r="89">
      <c r="A89" s="5" t="inlineStr">
        <is>
          <t>P0033</t>
        </is>
      </c>
      <c r="B89" s="5" t="inlineStr">
        <is>
          <t>Home Item 033</t>
        </is>
      </c>
      <c r="C89" s="5" t="inlineStr">
        <is>
          <t>Home &amp; Kitchen</t>
        </is>
      </c>
      <c r="D89" s="5" t="inlineStr">
        <is>
          <t>S05</t>
        </is>
      </c>
      <c r="E89" s="5" t="inlineStr">
        <is>
          <t>C</t>
        </is>
      </c>
      <c r="F89" s="5" t="inlineStr">
        <is>
          <t>X</t>
        </is>
      </c>
      <c r="G89" s="22" t="n">
        <v>12.33</v>
      </c>
      <c r="H89" s="23" t="n">
        <v>1.701</v>
      </c>
      <c r="I89" s="23" t="n">
        <v>1.252</v>
      </c>
      <c r="J89" s="24" t="n">
        <v>8.19</v>
      </c>
      <c r="K89" s="24" t="n">
        <v>1.086</v>
      </c>
      <c r="L89" s="25" t="n">
        <v>24</v>
      </c>
      <c r="M89" s="25" t="n">
        <v>21</v>
      </c>
      <c r="N89" s="25" t="n">
        <v>0</v>
      </c>
      <c r="O89" s="26">
        <f>INDEX(Assumptions!$B$13:$B$15,MATCH(E89,Assumptions!$A$13:$A$15,0))</f>
        <v/>
      </c>
      <c r="P89" s="27">
        <f>NORMSINV(O89)</f>
        <v/>
      </c>
      <c r="Q89" s="28">
        <f>ROUNDUP(P89*SQRT(J89*I89^2+H89^2*K89^2),0)</f>
        <v/>
      </c>
      <c r="R89" s="28">
        <f>ROUNDUP(H89*J89+Q89,0)</f>
        <v/>
      </c>
      <c r="S89" s="28">
        <f>IF(H89&gt;0,ROUNDUP(SQRT(2*H89*365*Assumptions!$B$5/(Assumptions!$B$6*G89)),0),0)</f>
        <v/>
      </c>
      <c r="T89" s="28">
        <f>MAX(S89,L89)</f>
        <v/>
      </c>
      <c r="U89" s="28">
        <f>M89+N89</f>
        <v/>
      </c>
      <c r="V89" s="28">
        <f>IF(H89&gt;0,M89/H89,999)</f>
        <v/>
      </c>
      <c r="W89" s="28">
        <f>MAX(0,U89-MAX(R89+T89,H89*Assumptions!$B$10))</f>
        <v/>
      </c>
      <c r="X89" s="29">
        <f>W89*G89</f>
        <v/>
      </c>
      <c r="Y89" s="28">
        <f>IF(U89&lt;=R89,"REORDER NOW",IF(W89&gt;0,"EXCESS - pause orders / promote","OK"))</f>
        <v/>
      </c>
      <c r="Z89" s="28">
        <f>IF(Y89="REORDER NOW",T89,0)</f>
        <v/>
      </c>
    </row>
    <row r="90">
      <c r="A90" s="5" t="inlineStr">
        <is>
          <t>P0037</t>
        </is>
      </c>
      <c r="B90" s="5" t="inlineStr">
        <is>
          <t>Home Item 037</t>
        </is>
      </c>
      <c r="C90" s="5" t="inlineStr">
        <is>
          <t>Home &amp; Kitchen</t>
        </is>
      </c>
      <c r="D90" s="5" t="inlineStr">
        <is>
          <t>S02</t>
        </is>
      </c>
      <c r="E90" s="5" t="inlineStr">
        <is>
          <t>C</t>
        </is>
      </c>
      <c r="F90" s="5" t="inlineStr">
        <is>
          <t>Y</t>
        </is>
      </c>
      <c r="G90" s="22" t="n">
        <v>16.04</v>
      </c>
      <c r="H90" s="23" t="n">
        <v>0.491</v>
      </c>
      <c r="I90" s="23" t="n">
        <v>1.136</v>
      </c>
      <c r="J90" s="24" t="n">
        <v>10.431</v>
      </c>
      <c r="K90" s="24" t="n">
        <v>1.544</v>
      </c>
      <c r="L90" s="25" t="n">
        <v>50</v>
      </c>
      <c r="M90" s="25" t="n">
        <v>20</v>
      </c>
      <c r="N90" s="25" t="n">
        <v>0</v>
      </c>
      <c r="O90" s="26">
        <f>INDEX(Assumptions!$B$13:$B$15,MATCH(E90,Assumptions!$A$13:$A$15,0))</f>
        <v/>
      </c>
      <c r="P90" s="27">
        <f>NORMSINV(O90)</f>
        <v/>
      </c>
      <c r="Q90" s="28">
        <f>ROUNDUP(P90*SQRT(J90*I90^2+H90^2*K90^2),0)</f>
        <v/>
      </c>
      <c r="R90" s="28">
        <f>ROUNDUP(H90*J90+Q90,0)</f>
        <v/>
      </c>
      <c r="S90" s="28">
        <f>IF(H90&gt;0,ROUNDUP(SQRT(2*H90*365*Assumptions!$B$5/(Assumptions!$B$6*G90)),0),0)</f>
        <v/>
      </c>
      <c r="T90" s="28">
        <f>MAX(S90,L90)</f>
        <v/>
      </c>
      <c r="U90" s="28">
        <f>M90+N90</f>
        <v/>
      </c>
      <c r="V90" s="28">
        <f>IF(H90&gt;0,M90/H90,999)</f>
        <v/>
      </c>
      <c r="W90" s="28">
        <f>MAX(0,U90-MAX(R90+T90,H90*Assumptions!$B$10))</f>
        <v/>
      </c>
      <c r="X90" s="29">
        <f>W90*G90</f>
        <v/>
      </c>
      <c r="Y90" s="28">
        <f>IF(U90&lt;=R90,"REORDER NOW",IF(W90&gt;0,"EXCESS - pause orders / promote","OK"))</f>
        <v/>
      </c>
      <c r="Z90" s="28">
        <f>IF(Y90="REORDER NOW",T90,0)</f>
        <v/>
      </c>
    </row>
    <row r="91">
      <c r="A91" s="5" t="inlineStr">
        <is>
          <t>P0038</t>
        </is>
      </c>
      <c r="B91" s="5" t="inlineStr">
        <is>
          <t>Home Item 038</t>
        </is>
      </c>
      <c r="C91" s="5" t="inlineStr">
        <is>
          <t>Home &amp; Kitchen</t>
        </is>
      </c>
      <c r="D91" s="5" t="inlineStr">
        <is>
          <t>S06</t>
        </is>
      </c>
      <c r="E91" s="5" t="inlineStr">
        <is>
          <t>C</t>
        </is>
      </c>
      <c r="F91" s="5" t="inlineStr">
        <is>
          <t>X</t>
        </is>
      </c>
      <c r="G91" s="22" t="n">
        <v>7.22</v>
      </c>
      <c r="H91" s="23" t="n">
        <v>1.044</v>
      </c>
      <c r="I91" s="23" t="n">
        <v>1.61</v>
      </c>
      <c r="J91" s="24" t="n">
        <v>13.277</v>
      </c>
      <c r="K91" s="24" t="n">
        <v>2.821</v>
      </c>
      <c r="L91" s="25" t="n">
        <v>48</v>
      </c>
      <c r="M91" s="25" t="n">
        <v>46</v>
      </c>
      <c r="N91" s="25" t="n">
        <v>0</v>
      </c>
      <c r="O91" s="26">
        <f>INDEX(Assumptions!$B$13:$B$15,MATCH(E91,Assumptions!$A$13:$A$15,0))</f>
        <v/>
      </c>
      <c r="P91" s="27">
        <f>NORMSINV(O91)</f>
        <v/>
      </c>
      <c r="Q91" s="28">
        <f>ROUNDUP(P91*SQRT(J91*I91^2+H91^2*K91^2),0)</f>
        <v/>
      </c>
      <c r="R91" s="28">
        <f>ROUNDUP(H91*J91+Q91,0)</f>
        <v/>
      </c>
      <c r="S91" s="28">
        <f>IF(H91&gt;0,ROUNDUP(SQRT(2*H91*365*Assumptions!$B$5/(Assumptions!$B$6*G91)),0),0)</f>
        <v/>
      </c>
      <c r="T91" s="28">
        <f>MAX(S91,L91)</f>
        <v/>
      </c>
      <c r="U91" s="28">
        <f>M91+N91</f>
        <v/>
      </c>
      <c r="V91" s="28">
        <f>IF(H91&gt;0,M91/H91,999)</f>
        <v/>
      </c>
      <c r="W91" s="28">
        <f>MAX(0,U91-MAX(R91+T91,H91*Assumptions!$B$10))</f>
        <v/>
      </c>
      <c r="X91" s="29">
        <f>W91*G91</f>
        <v/>
      </c>
      <c r="Y91" s="28">
        <f>IF(U91&lt;=R91,"REORDER NOW",IF(W91&gt;0,"EXCESS - pause orders / promote","OK"))</f>
        <v/>
      </c>
      <c r="Z91" s="28">
        <f>IF(Y91="REORDER NOW",T91,0)</f>
        <v/>
      </c>
    </row>
    <row r="92">
      <c r="A92" s="5" t="inlineStr">
        <is>
          <t>P0039</t>
        </is>
      </c>
      <c r="B92" s="5" t="inlineStr">
        <is>
          <t>Home Item 039</t>
        </is>
      </c>
      <c r="C92" s="5" t="inlineStr">
        <is>
          <t>Home &amp; Kitchen</t>
        </is>
      </c>
      <c r="D92" s="5" t="inlineStr">
        <is>
          <t>S02</t>
        </is>
      </c>
      <c r="E92" s="5" t="inlineStr">
        <is>
          <t>C</t>
        </is>
      </c>
      <c r="F92" s="5" t="inlineStr">
        <is>
          <t>Y</t>
        </is>
      </c>
      <c r="G92" s="22" t="n">
        <v>13.56</v>
      </c>
      <c r="H92" s="23" t="n">
        <v>0.514</v>
      </c>
      <c r="I92" s="23" t="n">
        <v>1.061</v>
      </c>
      <c r="J92" s="24" t="n">
        <v>10.431</v>
      </c>
      <c r="K92" s="24" t="n">
        <v>1.544</v>
      </c>
      <c r="L92" s="25" t="n">
        <v>50</v>
      </c>
      <c r="M92" s="25" t="n">
        <v>5</v>
      </c>
      <c r="N92" s="25" t="n">
        <v>50</v>
      </c>
      <c r="O92" s="26">
        <f>INDEX(Assumptions!$B$13:$B$15,MATCH(E92,Assumptions!$A$13:$A$15,0))</f>
        <v/>
      </c>
      <c r="P92" s="27">
        <f>NORMSINV(O92)</f>
        <v/>
      </c>
      <c r="Q92" s="28">
        <f>ROUNDUP(P92*SQRT(J92*I92^2+H92^2*K92^2),0)</f>
        <v/>
      </c>
      <c r="R92" s="28">
        <f>ROUNDUP(H92*J92+Q92,0)</f>
        <v/>
      </c>
      <c r="S92" s="28">
        <f>IF(H92&gt;0,ROUNDUP(SQRT(2*H92*365*Assumptions!$B$5/(Assumptions!$B$6*G92)),0),0)</f>
        <v/>
      </c>
      <c r="T92" s="28">
        <f>MAX(S92,L92)</f>
        <v/>
      </c>
      <c r="U92" s="28">
        <f>M92+N92</f>
        <v/>
      </c>
      <c r="V92" s="28">
        <f>IF(H92&gt;0,M92/H92,999)</f>
        <v/>
      </c>
      <c r="W92" s="28">
        <f>MAX(0,U92-MAX(R92+T92,H92*Assumptions!$B$10))</f>
        <v/>
      </c>
      <c r="X92" s="29">
        <f>W92*G92</f>
        <v/>
      </c>
      <c r="Y92" s="28">
        <f>IF(U92&lt;=R92,"REORDER NOW",IF(W92&gt;0,"EXCESS - pause orders / promote","OK"))</f>
        <v/>
      </c>
      <c r="Z92" s="28">
        <f>IF(Y92="REORDER NOW",T92,0)</f>
        <v/>
      </c>
    </row>
    <row r="93">
      <c r="A93" s="5" t="inlineStr">
        <is>
          <t>P0040</t>
        </is>
      </c>
      <c r="B93" s="5" t="inlineStr">
        <is>
          <t>Home Item 040</t>
        </is>
      </c>
      <c r="C93" s="5" t="inlineStr">
        <is>
          <t>Home &amp; Kitchen</t>
        </is>
      </c>
      <c r="D93" s="5" t="inlineStr">
        <is>
          <t>S10</t>
        </is>
      </c>
      <c r="E93" s="5" t="inlineStr">
        <is>
          <t>C</t>
        </is>
      </c>
      <c r="F93" s="5" t="inlineStr">
        <is>
          <t>X</t>
        </is>
      </c>
      <c r="G93" s="22" t="n">
        <v>17.08</v>
      </c>
      <c r="H93" s="23" t="n">
        <v>0.65</v>
      </c>
      <c r="I93" s="23" t="n">
        <v>1.135</v>
      </c>
      <c r="J93" s="24" t="n">
        <v>21.86</v>
      </c>
      <c r="K93" s="24" t="n">
        <v>2.931</v>
      </c>
      <c r="L93" s="25" t="n">
        <v>120</v>
      </c>
      <c r="M93" s="25" t="n">
        <v>68</v>
      </c>
      <c r="N93" s="25" t="n">
        <v>0</v>
      </c>
      <c r="O93" s="26">
        <f>INDEX(Assumptions!$B$13:$B$15,MATCH(E93,Assumptions!$A$13:$A$15,0))</f>
        <v/>
      </c>
      <c r="P93" s="27">
        <f>NORMSINV(O93)</f>
        <v/>
      </c>
      <c r="Q93" s="28">
        <f>ROUNDUP(P93*SQRT(J93*I93^2+H93^2*K93^2),0)</f>
        <v/>
      </c>
      <c r="R93" s="28">
        <f>ROUNDUP(H93*J93+Q93,0)</f>
        <v/>
      </c>
      <c r="S93" s="28">
        <f>IF(H93&gt;0,ROUNDUP(SQRT(2*H93*365*Assumptions!$B$5/(Assumptions!$B$6*G93)),0),0)</f>
        <v/>
      </c>
      <c r="T93" s="28">
        <f>MAX(S93,L93)</f>
        <v/>
      </c>
      <c r="U93" s="28">
        <f>M93+N93</f>
        <v/>
      </c>
      <c r="V93" s="28">
        <f>IF(H93&gt;0,M93/H93,999)</f>
        <v/>
      </c>
      <c r="W93" s="28">
        <f>MAX(0,U93-MAX(R93+T93,H93*Assumptions!$B$10))</f>
        <v/>
      </c>
      <c r="X93" s="29">
        <f>W93*G93</f>
        <v/>
      </c>
      <c r="Y93" s="28">
        <f>IF(U93&lt;=R93,"REORDER NOW",IF(W93&gt;0,"EXCESS - pause orders / promote","OK"))</f>
        <v/>
      </c>
      <c r="Z93" s="28">
        <f>IF(Y93="REORDER NOW",T93,0)</f>
        <v/>
      </c>
    </row>
    <row r="94">
      <c r="A94" s="5" t="inlineStr">
        <is>
          <t>P0043</t>
        </is>
      </c>
      <c r="B94" s="5" t="inlineStr">
        <is>
          <t>Home Item 043</t>
        </is>
      </c>
      <c r="C94" s="5" t="inlineStr">
        <is>
          <t>Home &amp; Kitchen</t>
        </is>
      </c>
      <c r="D94" s="5" t="inlineStr">
        <is>
          <t>S04</t>
        </is>
      </c>
      <c r="E94" s="5" t="inlineStr">
        <is>
          <t>C</t>
        </is>
      </c>
      <c r="F94" s="5" t="inlineStr">
        <is>
          <t>Y</t>
        </is>
      </c>
      <c r="G94" s="22" t="n">
        <v>22.55</v>
      </c>
      <c r="H94" s="23" t="n">
        <v>0.838</v>
      </c>
      <c r="I94" s="23" t="n">
        <v>0.967</v>
      </c>
      <c r="J94" s="24" t="n">
        <v>39.643</v>
      </c>
      <c r="K94" s="24" t="n">
        <v>7.265</v>
      </c>
      <c r="L94" s="25" t="n">
        <v>200</v>
      </c>
      <c r="M94" s="25" t="n">
        <v>118</v>
      </c>
      <c r="N94" s="25" t="n">
        <v>0</v>
      </c>
      <c r="O94" s="26">
        <f>INDEX(Assumptions!$B$13:$B$15,MATCH(E94,Assumptions!$A$13:$A$15,0))</f>
        <v/>
      </c>
      <c r="P94" s="27">
        <f>NORMSINV(O94)</f>
        <v/>
      </c>
      <c r="Q94" s="28">
        <f>ROUNDUP(P94*SQRT(J94*I94^2+H94^2*K94^2),0)</f>
        <v/>
      </c>
      <c r="R94" s="28">
        <f>ROUNDUP(H94*J94+Q94,0)</f>
        <v/>
      </c>
      <c r="S94" s="28">
        <f>IF(H94&gt;0,ROUNDUP(SQRT(2*H94*365*Assumptions!$B$5/(Assumptions!$B$6*G94)),0),0)</f>
        <v/>
      </c>
      <c r="T94" s="28">
        <f>MAX(S94,L94)</f>
        <v/>
      </c>
      <c r="U94" s="28">
        <f>M94+N94</f>
        <v/>
      </c>
      <c r="V94" s="28">
        <f>IF(H94&gt;0,M94/H94,999)</f>
        <v/>
      </c>
      <c r="W94" s="28">
        <f>MAX(0,U94-MAX(R94+T94,H94*Assumptions!$B$10))</f>
        <v/>
      </c>
      <c r="X94" s="29">
        <f>W94*G94</f>
        <v/>
      </c>
      <c r="Y94" s="28">
        <f>IF(U94&lt;=R94,"REORDER NOW",IF(W94&gt;0,"EXCESS - pause orders / promote","OK"))</f>
        <v/>
      </c>
      <c r="Z94" s="28">
        <f>IF(Y94="REORDER NOW",T94,0)</f>
        <v/>
      </c>
    </row>
    <row r="95">
      <c r="A95" s="5" t="inlineStr">
        <is>
          <t>P0045</t>
        </is>
      </c>
      <c r="B95" s="5" t="inlineStr">
        <is>
          <t>Home Item 045</t>
        </is>
      </c>
      <c r="C95" s="5" t="inlineStr">
        <is>
          <t>Home &amp; Kitchen</t>
        </is>
      </c>
      <c r="D95" s="5" t="inlineStr">
        <is>
          <t>S03</t>
        </is>
      </c>
      <c r="E95" s="5" t="inlineStr">
        <is>
          <t>C</t>
        </is>
      </c>
      <c r="F95" s="5" t="inlineStr">
        <is>
          <t>X</t>
        </is>
      </c>
      <c r="G95" s="22" t="n">
        <v>7.18</v>
      </c>
      <c r="H95" s="23" t="n">
        <v>1.47</v>
      </c>
      <c r="I95" s="23" t="n">
        <v>1.401</v>
      </c>
      <c r="J95" s="24" t="n">
        <v>5.124</v>
      </c>
      <c r="K95" s="24" t="n">
        <v>0.839</v>
      </c>
      <c r="L95" s="25" t="n">
        <v>12</v>
      </c>
      <c r="M95" s="25" t="n">
        <v>2</v>
      </c>
      <c r="N95" s="25" t="n">
        <v>113</v>
      </c>
      <c r="O95" s="26">
        <f>INDEX(Assumptions!$B$13:$B$15,MATCH(E95,Assumptions!$A$13:$A$15,0))</f>
        <v/>
      </c>
      <c r="P95" s="27">
        <f>NORMSINV(O95)</f>
        <v/>
      </c>
      <c r="Q95" s="28">
        <f>ROUNDUP(P95*SQRT(J95*I95^2+H95^2*K95^2),0)</f>
        <v/>
      </c>
      <c r="R95" s="28">
        <f>ROUNDUP(H95*J95+Q95,0)</f>
        <v/>
      </c>
      <c r="S95" s="28">
        <f>IF(H95&gt;0,ROUNDUP(SQRT(2*H95*365*Assumptions!$B$5/(Assumptions!$B$6*G95)),0),0)</f>
        <v/>
      </c>
      <c r="T95" s="28">
        <f>MAX(S95,L95)</f>
        <v/>
      </c>
      <c r="U95" s="28">
        <f>M95+N95</f>
        <v/>
      </c>
      <c r="V95" s="28">
        <f>IF(H95&gt;0,M95/H95,999)</f>
        <v/>
      </c>
      <c r="W95" s="28">
        <f>MAX(0,U95-MAX(R95+T95,H95*Assumptions!$B$10))</f>
        <v/>
      </c>
      <c r="X95" s="29">
        <f>W95*G95</f>
        <v/>
      </c>
      <c r="Y95" s="28">
        <f>IF(U95&lt;=R95,"REORDER NOW",IF(W95&gt;0,"EXCESS - pause orders / promote","OK"))</f>
        <v/>
      </c>
      <c r="Z95" s="28">
        <f>IF(Y95="REORDER NOW",T95,0)</f>
        <v/>
      </c>
    </row>
    <row r="96">
      <c r="A96" s="5" t="inlineStr">
        <is>
          <t>P0046</t>
        </is>
      </c>
      <c r="B96" s="5" t="inlineStr">
        <is>
          <t>Home Item 046</t>
        </is>
      </c>
      <c r="C96" s="5" t="inlineStr">
        <is>
          <t>Home &amp; Kitchen</t>
        </is>
      </c>
      <c r="D96" s="5" t="inlineStr">
        <is>
          <t>S07</t>
        </is>
      </c>
      <c r="E96" s="5" t="inlineStr">
        <is>
          <t>C</t>
        </is>
      </c>
      <c r="F96" s="5" t="inlineStr">
        <is>
          <t>Y</t>
        </is>
      </c>
      <c r="G96" s="22" t="n">
        <v>31.63</v>
      </c>
      <c r="H96" s="23" t="n">
        <v>0.791</v>
      </c>
      <c r="I96" s="23" t="n">
        <v>1.22</v>
      </c>
      <c r="J96" s="24" t="n">
        <v>14.688</v>
      </c>
      <c r="K96" s="24" t="n">
        <v>2.076</v>
      </c>
      <c r="L96" s="25" t="n">
        <v>100</v>
      </c>
      <c r="M96" s="25" t="n">
        <v>41</v>
      </c>
      <c r="N96" s="25" t="n">
        <v>0</v>
      </c>
      <c r="O96" s="26">
        <f>INDEX(Assumptions!$B$13:$B$15,MATCH(E96,Assumptions!$A$13:$A$15,0))</f>
        <v/>
      </c>
      <c r="P96" s="27">
        <f>NORMSINV(O96)</f>
        <v/>
      </c>
      <c r="Q96" s="28">
        <f>ROUNDUP(P96*SQRT(J96*I96^2+H96^2*K96^2),0)</f>
        <v/>
      </c>
      <c r="R96" s="28">
        <f>ROUNDUP(H96*J96+Q96,0)</f>
        <v/>
      </c>
      <c r="S96" s="28">
        <f>IF(H96&gt;0,ROUNDUP(SQRT(2*H96*365*Assumptions!$B$5/(Assumptions!$B$6*G96)),0),0)</f>
        <v/>
      </c>
      <c r="T96" s="28">
        <f>MAX(S96,L96)</f>
        <v/>
      </c>
      <c r="U96" s="28">
        <f>M96+N96</f>
        <v/>
      </c>
      <c r="V96" s="28">
        <f>IF(H96&gt;0,M96/H96,999)</f>
        <v/>
      </c>
      <c r="W96" s="28">
        <f>MAX(0,U96-MAX(R96+T96,H96*Assumptions!$B$10))</f>
        <v/>
      </c>
      <c r="X96" s="29">
        <f>W96*G96</f>
        <v/>
      </c>
      <c r="Y96" s="28">
        <f>IF(U96&lt;=R96,"REORDER NOW",IF(W96&gt;0,"EXCESS - pause orders / promote","OK"))</f>
        <v/>
      </c>
      <c r="Z96" s="28">
        <f>IF(Y96="REORDER NOW",T96,0)</f>
        <v/>
      </c>
    </row>
    <row r="97">
      <c r="A97" s="5" t="inlineStr">
        <is>
          <t>P0048</t>
        </is>
      </c>
      <c r="B97" s="5" t="inlineStr">
        <is>
          <t>Home Item 048</t>
        </is>
      </c>
      <c r="C97" s="5" t="inlineStr">
        <is>
          <t>Home &amp; Kitchen</t>
        </is>
      </c>
      <c r="D97" s="5" t="inlineStr">
        <is>
          <t>S06</t>
        </is>
      </c>
      <c r="E97" s="5" t="inlineStr">
        <is>
          <t>C</t>
        </is>
      </c>
      <c r="F97" s="5" t="inlineStr">
        <is>
          <t>X</t>
        </is>
      </c>
      <c r="G97" s="22" t="n">
        <v>12.6</v>
      </c>
      <c r="H97" s="23" t="n">
        <v>2.573</v>
      </c>
      <c r="I97" s="23" t="n">
        <v>1.935</v>
      </c>
      <c r="J97" s="24" t="n">
        <v>13.277</v>
      </c>
      <c r="K97" s="24" t="n">
        <v>2.821</v>
      </c>
      <c r="L97" s="25" t="n">
        <v>48</v>
      </c>
      <c r="M97" s="25" t="n">
        <v>0</v>
      </c>
      <c r="N97" s="25" t="n">
        <v>48</v>
      </c>
      <c r="O97" s="26">
        <f>INDEX(Assumptions!$B$13:$B$15,MATCH(E97,Assumptions!$A$13:$A$15,0))</f>
        <v/>
      </c>
      <c r="P97" s="27">
        <f>NORMSINV(O97)</f>
        <v/>
      </c>
      <c r="Q97" s="28">
        <f>ROUNDUP(P97*SQRT(J97*I97^2+H97^2*K97^2),0)</f>
        <v/>
      </c>
      <c r="R97" s="28">
        <f>ROUNDUP(H97*J97+Q97,0)</f>
        <v/>
      </c>
      <c r="S97" s="28">
        <f>IF(H97&gt;0,ROUNDUP(SQRT(2*H97*365*Assumptions!$B$5/(Assumptions!$B$6*G97)),0),0)</f>
        <v/>
      </c>
      <c r="T97" s="28">
        <f>MAX(S97,L97)</f>
        <v/>
      </c>
      <c r="U97" s="28">
        <f>M97+N97</f>
        <v/>
      </c>
      <c r="V97" s="28">
        <f>IF(H97&gt;0,M97/H97,999)</f>
        <v/>
      </c>
      <c r="W97" s="28">
        <f>MAX(0,U97-MAX(R97+T97,H97*Assumptions!$B$10))</f>
        <v/>
      </c>
      <c r="X97" s="29">
        <f>W97*G97</f>
        <v/>
      </c>
      <c r="Y97" s="28">
        <f>IF(U97&lt;=R97,"REORDER NOW",IF(W97&gt;0,"EXCESS - pause orders / promote","OK"))</f>
        <v/>
      </c>
      <c r="Z97" s="28">
        <f>IF(Y97="REORDER NOW",T97,0)</f>
        <v/>
      </c>
    </row>
    <row r="98">
      <c r="A98" s="5" t="inlineStr">
        <is>
          <t>P0049</t>
        </is>
      </c>
      <c r="B98" s="5" t="inlineStr">
        <is>
          <t>Home Item 049</t>
        </is>
      </c>
      <c r="C98" s="5" t="inlineStr">
        <is>
          <t>Home &amp; Kitchen</t>
        </is>
      </c>
      <c r="D98" s="5" t="inlineStr">
        <is>
          <t>S07</t>
        </is>
      </c>
      <c r="E98" s="5" t="inlineStr">
        <is>
          <t>C</t>
        </is>
      </c>
      <c r="F98" s="5" t="inlineStr">
        <is>
          <t>X</t>
        </is>
      </c>
      <c r="G98" s="22" t="n">
        <v>10.21</v>
      </c>
      <c r="H98" s="23" t="n">
        <v>1.005</v>
      </c>
      <c r="I98" s="23" t="n">
        <v>1.283</v>
      </c>
      <c r="J98" s="24" t="n">
        <v>14.688</v>
      </c>
      <c r="K98" s="24" t="n">
        <v>2.076</v>
      </c>
      <c r="L98" s="25" t="n">
        <v>100</v>
      </c>
      <c r="M98" s="25" t="n">
        <v>25</v>
      </c>
      <c r="N98" s="25" t="n">
        <v>0</v>
      </c>
      <c r="O98" s="26">
        <f>INDEX(Assumptions!$B$13:$B$15,MATCH(E98,Assumptions!$A$13:$A$15,0))</f>
        <v/>
      </c>
      <c r="P98" s="27">
        <f>NORMSINV(O98)</f>
        <v/>
      </c>
      <c r="Q98" s="28">
        <f>ROUNDUP(P98*SQRT(J98*I98^2+H98^2*K98^2),0)</f>
        <v/>
      </c>
      <c r="R98" s="28">
        <f>ROUNDUP(H98*J98+Q98,0)</f>
        <v/>
      </c>
      <c r="S98" s="28">
        <f>IF(H98&gt;0,ROUNDUP(SQRT(2*H98*365*Assumptions!$B$5/(Assumptions!$B$6*G98)),0),0)</f>
        <v/>
      </c>
      <c r="T98" s="28">
        <f>MAX(S98,L98)</f>
        <v/>
      </c>
      <c r="U98" s="28">
        <f>M98+N98</f>
        <v/>
      </c>
      <c r="V98" s="28">
        <f>IF(H98&gt;0,M98/H98,999)</f>
        <v/>
      </c>
      <c r="W98" s="28">
        <f>MAX(0,U98-MAX(R98+T98,H98*Assumptions!$B$10))</f>
        <v/>
      </c>
      <c r="X98" s="29">
        <f>W98*G98</f>
        <v/>
      </c>
      <c r="Y98" s="28">
        <f>IF(U98&lt;=R98,"REORDER NOW",IF(W98&gt;0,"EXCESS - pause orders / promote","OK"))</f>
        <v/>
      </c>
      <c r="Z98" s="28">
        <f>IF(Y98="REORDER NOW",T98,0)</f>
        <v/>
      </c>
    </row>
    <row r="99">
      <c r="A99" s="5" t="inlineStr">
        <is>
          <t>P0050</t>
        </is>
      </c>
      <c r="B99" s="5" t="inlineStr">
        <is>
          <t>Home Item 050</t>
        </is>
      </c>
      <c r="C99" s="5" t="inlineStr">
        <is>
          <t>Home &amp; Kitchen</t>
        </is>
      </c>
      <c r="D99" s="5" t="inlineStr">
        <is>
          <t>S06</t>
        </is>
      </c>
      <c r="E99" s="5" t="inlineStr">
        <is>
          <t>C</t>
        </is>
      </c>
      <c r="F99" s="5" t="inlineStr">
        <is>
          <t>X</t>
        </is>
      </c>
      <c r="G99" s="22" t="n">
        <v>8.859999999999999</v>
      </c>
      <c r="H99" s="23" t="n">
        <v>1.34</v>
      </c>
      <c r="I99" s="23" t="n">
        <v>1.289</v>
      </c>
      <c r="J99" s="24" t="n">
        <v>13.277</v>
      </c>
      <c r="K99" s="24" t="n">
        <v>2.821</v>
      </c>
      <c r="L99" s="25" t="n">
        <v>48</v>
      </c>
      <c r="M99" s="25" t="n">
        <v>103</v>
      </c>
      <c r="N99" s="25" t="n">
        <v>0</v>
      </c>
      <c r="O99" s="26">
        <f>INDEX(Assumptions!$B$13:$B$15,MATCH(E99,Assumptions!$A$13:$A$15,0))</f>
        <v/>
      </c>
      <c r="P99" s="27">
        <f>NORMSINV(O99)</f>
        <v/>
      </c>
      <c r="Q99" s="28">
        <f>ROUNDUP(P99*SQRT(J99*I99^2+H99^2*K99^2),0)</f>
        <v/>
      </c>
      <c r="R99" s="28">
        <f>ROUNDUP(H99*J99+Q99,0)</f>
        <v/>
      </c>
      <c r="S99" s="28">
        <f>IF(H99&gt;0,ROUNDUP(SQRT(2*H99*365*Assumptions!$B$5/(Assumptions!$B$6*G99)),0),0)</f>
        <v/>
      </c>
      <c r="T99" s="28">
        <f>MAX(S99,L99)</f>
        <v/>
      </c>
      <c r="U99" s="28">
        <f>M99+N99</f>
        <v/>
      </c>
      <c r="V99" s="28">
        <f>IF(H99&gt;0,M99/H99,999)</f>
        <v/>
      </c>
      <c r="W99" s="28">
        <f>MAX(0,U99-MAX(R99+T99,H99*Assumptions!$B$10))</f>
        <v/>
      </c>
      <c r="X99" s="29">
        <f>W99*G99</f>
        <v/>
      </c>
      <c r="Y99" s="28">
        <f>IF(U99&lt;=R99,"REORDER NOW",IF(W99&gt;0,"EXCESS - pause orders / promote","OK"))</f>
        <v/>
      </c>
      <c r="Z99" s="28">
        <f>IF(Y99="REORDER NOW",T99,0)</f>
        <v/>
      </c>
    </row>
    <row r="100">
      <c r="A100" s="5" t="inlineStr">
        <is>
          <t>P0051</t>
        </is>
      </c>
      <c r="B100" s="5" t="inlineStr">
        <is>
          <t>Home Item 051</t>
        </is>
      </c>
      <c r="C100" s="5" t="inlineStr">
        <is>
          <t>Home &amp; Kitchen</t>
        </is>
      </c>
      <c r="D100" s="5" t="inlineStr">
        <is>
          <t>S09</t>
        </is>
      </c>
      <c r="E100" s="5" t="inlineStr">
        <is>
          <t>C</t>
        </is>
      </c>
      <c r="F100" s="5" t="inlineStr">
        <is>
          <t>Y</t>
        </is>
      </c>
      <c r="G100" s="22" t="n">
        <v>6.93</v>
      </c>
      <c r="H100" s="23" t="n">
        <v>0.63</v>
      </c>
      <c r="I100" s="23" t="n">
        <v>1.074</v>
      </c>
      <c r="J100" s="24" t="n">
        <v>13.138</v>
      </c>
      <c r="K100" s="24" t="n">
        <v>3.817</v>
      </c>
      <c r="L100" s="25" t="n">
        <v>150</v>
      </c>
      <c r="M100" s="25" t="n">
        <v>163</v>
      </c>
      <c r="N100" s="25" t="n">
        <v>0</v>
      </c>
      <c r="O100" s="26">
        <f>INDEX(Assumptions!$B$13:$B$15,MATCH(E100,Assumptions!$A$13:$A$15,0))</f>
        <v/>
      </c>
      <c r="P100" s="27">
        <f>NORMSINV(O100)</f>
        <v/>
      </c>
      <c r="Q100" s="28">
        <f>ROUNDUP(P100*SQRT(J100*I100^2+H100^2*K100^2),0)</f>
        <v/>
      </c>
      <c r="R100" s="28">
        <f>ROUNDUP(H100*J100+Q100,0)</f>
        <v/>
      </c>
      <c r="S100" s="28">
        <f>IF(H100&gt;0,ROUNDUP(SQRT(2*H100*365*Assumptions!$B$5/(Assumptions!$B$6*G100)),0),0)</f>
        <v/>
      </c>
      <c r="T100" s="28">
        <f>MAX(S100,L100)</f>
        <v/>
      </c>
      <c r="U100" s="28">
        <f>M100+N100</f>
        <v/>
      </c>
      <c r="V100" s="28">
        <f>IF(H100&gt;0,M100/H100,999)</f>
        <v/>
      </c>
      <c r="W100" s="28">
        <f>MAX(0,U100-MAX(R100+T100,H100*Assumptions!$B$10))</f>
        <v/>
      </c>
      <c r="X100" s="29">
        <f>W100*G100</f>
        <v/>
      </c>
      <c r="Y100" s="28">
        <f>IF(U100&lt;=R100,"REORDER NOW",IF(W100&gt;0,"EXCESS - pause orders / promote","OK"))</f>
        <v/>
      </c>
      <c r="Z100" s="28">
        <f>IF(Y100="REORDER NOW",T100,0)</f>
        <v/>
      </c>
    </row>
    <row r="101">
      <c r="A101" s="5" t="inlineStr">
        <is>
          <t>P0057</t>
        </is>
      </c>
      <c r="B101" s="5" t="inlineStr">
        <is>
          <t>Outdoor Item 057</t>
        </is>
      </c>
      <c r="C101" s="5" t="inlineStr">
        <is>
          <t>Outdoor &amp; Garden</t>
        </is>
      </c>
      <c r="D101" s="5" t="inlineStr">
        <is>
          <t>S04</t>
        </is>
      </c>
      <c r="E101" s="5" t="inlineStr">
        <is>
          <t>C</t>
        </is>
      </c>
      <c r="F101" s="5" t="inlineStr">
        <is>
          <t>Y</t>
        </is>
      </c>
      <c r="G101" s="22" t="n">
        <v>17.13</v>
      </c>
      <c r="H101" s="23" t="n">
        <v>1.817</v>
      </c>
      <c r="I101" s="23" t="n">
        <v>1.529</v>
      </c>
      <c r="J101" s="24" t="n">
        <v>39.643</v>
      </c>
      <c r="K101" s="24" t="n">
        <v>7.265</v>
      </c>
      <c r="L101" s="25" t="n">
        <v>200</v>
      </c>
      <c r="M101" s="25" t="n">
        <v>0</v>
      </c>
      <c r="N101" s="25" t="n">
        <v>200</v>
      </c>
      <c r="O101" s="26">
        <f>INDEX(Assumptions!$B$13:$B$15,MATCH(E101,Assumptions!$A$13:$A$15,0))</f>
        <v/>
      </c>
      <c r="P101" s="27">
        <f>NORMSINV(O101)</f>
        <v/>
      </c>
      <c r="Q101" s="28">
        <f>ROUNDUP(P101*SQRT(J101*I101^2+H101^2*K101^2),0)</f>
        <v/>
      </c>
      <c r="R101" s="28">
        <f>ROUNDUP(H101*J101+Q101,0)</f>
        <v/>
      </c>
      <c r="S101" s="28">
        <f>IF(H101&gt;0,ROUNDUP(SQRT(2*H101*365*Assumptions!$B$5/(Assumptions!$B$6*G101)),0),0)</f>
        <v/>
      </c>
      <c r="T101" s="28">
        <f>MAX(S101,L101)</f>
        <v/>
      </c>
      <c r="U101" s="28">
        <f>M101+N101</f>
        <v/>
      </c>
      <c r="V101" s="28">
        <f>IF(H101&gt;0,M101/H101,999)</f>
        <v/>
      </c>
      <c r="W101" s="28">
        <f>MAX(0,U101-MAX(R101+T101,H101*Assumptions!$B$10))</f>
        <v/>
      </c>
      <c r="X101" s="29">
        <f>W101*G101</f>
        <v/>
      </c>
      <c r="Y101" s="28">
        <f>IF(U101&lt;=R101,"REORDER NOW",IF(W101&gt;0,"EXCESS - pause orders / promote","OK"))</f>
        <v/>
      </c>
      <c r="Z101" s="28">
        <f>IF(Y101="REORDER NOW",T101,0)</f>
        <v/>
      </c>
    </row>
    <row r="102">
      <c r="A102" s="5" t="inlineStr">
        <is>
          <t>P0058</t>
        </is>
      </c>
      <c r="B102" s="5" t="inlineStr">
        <is>
          <t>Outdoor Item 058</t>
        </is>
      </c>
      <c r="C102" s="5" t="inlineStr">
        <is>
          <t>Outdoor &amp; Garden</t>
        </is>
      </c>
      <c r="D102" s="5" t="inlineStr">
        <is>
          <t>S10</t>
        </is>
      </c>
      <c r="E102" s="5" t="inlineStr">
        <is>
          <t>C</t>
        </is>
      </c>
      <c r="F102" s="5" t="inlineStr">
        <is>
          <t>Z</t>
        </is>
      </c>
      <c r="G102" s="22" t="n">
        <v>43.38</v>
      </c>
      <c r="H102" s="23" t="n">
        <v>0.018</v>
      </c>
      <c r="I102" s="23" t="n">
        <v>0.187</v>
      </c>
      <c r="J102" s="24" t="n">
        <v>21.86</v>
      </c>
      <c r="K102" s="24" t="n">
        <v>2.931</v>
      </c>
      <c r="L102" s="25" t="n">
        <v>120</v>
      </c>
      <c r="M102" s="25" t="n">
        <v>69</v>
      </c>
      <c r="N102" s="25" t="n">
        <v>0</v>
      </c>
      <c r="O102" s="26">
        <f>INDEX(Assumptions!$B$13:$B$15,MATCH(E102,Assumptions!$A$13:$A$15,0))</f>
        <v/>
      </c>
      <c r="P102" s="27">
        <f>NORMSINV(O102)</f>
        <v/>
      </c>
      <c r="Q102" s="28">
        <f>ROUNDUP(P102*SQRT(J102*I102^2+H102^2*K102^2),0)</f>
        <v/>
      </c>
      <c r="R102" s="28">
        <f>ROUNDUP(H102*J102+Q102,0)</f>
        <v/>
      </c>
      <c r="S102" s="28">
        <f>IF(H102&gt;0,ROUNDUP(SQRT(2*H102*365*Assumptions!$B$5/(Assumptions!$B$6*G102)),0),0)</f>
        <v/>
      </c>
      <c r="T102" s="28">
        <f>MAX(S102,L102)</f>
        <v/>
      </c>
      <c r="U102" s="28">
        <f>M102+N102</f>
        <v/>
      </c>
      <c r="V102" s="28">
        <f>IF(H102&gt;0,M102/H102,999)</f>
        <v/>
      </c>
      <c r="W102" s="28">
        <f>MAX(0,U102-MAX(R102+T102,H102*Assumptions!$B$10))</f>
        <v/>
      </c>
      <c r="X102" s="29">
        <f>W102*G102</f>
        <v/>
      </c>
      <c r="Y102" s="28">
        <f>IF(U102&lt;=R102,"REORDER NOW",IF(W102&gt;0,"EXCESS - pause orders / promote","OK"))</f>
        <v/>
      </c>
      <c r="Z102" s="28">
        <f>IF(Y102="REORDER NOW",T102,0)</f>
        <v/>
      </c>
    </row>
    <row r="103">
      <c r="A103" s="5" t="inlineStr">
        <is>
          <t>P0062</t>
        </is>
      </c>
      <c r="B103" s="5" t="inlineStr">
        <is>
          <t>Outdoor Item 062</t>
        </is>
      </c>
      <c r="C103" s="5" t="inlineStr">
        <is>
          <t>Outdoor &amp; Garden</t>
        </is>
      </c>
      <c r="D103" s="5" t="inlineStr">
        <is>
          <t>S08</t>
        </is>
      </c>
      <c r="E103" s="5" t="inlineStr">
        <is>
          <t>C</t>
        </is>
      </c>
      <c r="F103" s="5" t="inlineStr">
        <is>
          <t>Y</t>
        </is>
      </c>
      <c r="G103" s="22" t="n">
        <v>15.46</v>
      </c>
      <c r="H103" s="23" t="n">
        <v>0.716</v>
      </c>
      <c r="I103" s="23" t="n">
        <v>0.793</v>
      </c>
      <c r="J103" s="24" t="n">
        <v>9.132</v>
      </c>
      <c r="K103" s="24" t="n">
        <v>1.033</v>
      </c>
      <c r="L103" s="25" t="n">
        <v>12</v>
      </c>
      <c r="M103" s="25" t="n">
        <v>14</v>
      </c>
      <c r="N103" s="25" t="n">
        <v>0</v>
      </c>
      <c r="O103" s="26">
        <f>INDEX(Assumptions!$B$13:$B$15,MATCH(E103,Assumptions!$A$13:$A$15,0))</f>
        <v/>
      </c>
      <c r="P103" s="27">
        <f>NORMSINV(O103)</f>
        <v/>
      </c>
      <c r="Q103" s="28">
        <f>ROUNDUP(P103*SQRT(J103*I103^2+H103^2*K103^2),0)</f>
        <v/>
      </c>
      <c r="R103" s="28">
        <f>ROUNDUP(H103*J103+Q103,0)</f>
        <v/>
      </c>
      <c r="S103" s="28">
        <f>IF(H103&gt;0,ROUNDUP(SQRT(2*H103*365*Assumptions!$B$5/(Assumptions!$B$6*G103)),0),0)</f>
        <v/>
      </c>
      <c r="T103" s="28">
        <f>MAX(S103,L103)</f>
        <v/>
      </c>
      <c r="U103" s="28">
        <f>M103+N103</f>
        <v/>
      </c>
      <c r="V103" s="28">
        <f>IF(H103&gt;0,M103/H103,999)</f>
        <v/>
      </c>
      <c r="W103" s="28">
        <f>MAX(0,U103-MAX(R103+T103,H103*Assumptions!$B$10))</f>
        <v/>
      </c>
      <c r="X103" s="29">
        <f>W103*G103</f>
        <v/>
      </c>
      <c r="Y103" s="28">
        <f>IF(U103&lt;=R103,"REORDER NOW",IF(W103&gt;0,"EXCESS - pause orders / promote","OK"))</f>
        <v/>
      </c>
      <c r="Z103" s="28">
        <f>IF(Y103="REORDER NOW",T103,0)</f>
        <v/>
      </c>
    </row>
    <row r="104">
      <c r="A104" s="5" t="inlineStr">
        <is>
          <t>P0068</t>
        </is>
      </c>
      <c r="B104" s="5" t="inlineStr">
        <is>
          <t>Outdoor Item 068</t>
        </is>
      </c>
      <c r="C104" s="5" t="inlineStr">
        <is>
          <t>Outdoor &amp; Garden</t>
        </is>
      </c>
      <c r="D104" s="5" t="inlineStr">
        <is>
          <t>S05</t>
        </is>
      </c>
      <c r="E104" s="5" t="inlineStr">
        <is>
          <t>C</t>
        </is>
      </c>
      <c r="F104" s="5" t="inlineStr">
        <is>
          <t>Y</t>
        </is>
      </c>
      <c r="G104" s="22" t="n">
        <v>101.6</v>
      </c>
      <c r="H104" s="23" t="n">
        <v>0.224</v>
      </c>
      <c r="I104" s="23" t="n">
        <v>0.549</v>
      </c>
      <c r="J104" s="24" t="n">
        <v>8.19</v>
      </c>
      <c r="K104" s="24" t="n">
        <v>1.086</v>
      </c>
      <c r="L104" s="25" t="n">
        <v>24</v>
      </c>
      <c r="M104" s="25" t="n">
        <v>24</v>
      </c>
      <c r="N104" s="25" t="n">
        <v>0</v>
      </c>
      <c r="O104" s="26">
        <f>INDEX(Assumptions!$B$13:$B$15,MATCH(E104,Assumptions!$A$13:$A$15,0))</f>
        <v/>
      </c>
      <c r="P104" s="27">
        <f>NORMSINV(O104)</f>
        <v/>
      </c>
      <c r="Q104" s="28">
        <f>ROUNDUP(P104*SQRT(J104*I104^2+H104^2*K104^2),0)</f>
        <v/>
      </c>
      <c r="R104" s="28">
        <f>ROUNDUP(H104*J104+Q104,0)</f>
        <v/>
      </c>
      <c r="S104" s="28">
        <f>IF(H104&gt;0,ROUNDUP(SQRT(2*H104*365*Assumptions!$B$5/(Assumptions!$B$6*G104)),0),0)</f>
        <v/>
      </c>
      <c r="T104" s="28">
        <f>MAX(S104,L104)</f>
        <v/>
      </c>
      <c r="U104" s="28">
        <f>M104+N104</f>
        <v/>
      </c>
      <c r="V104" s="28">
        <f>IF(H104&gt;0,M104/H104,999)</f>
        <v/>
      </c>
      <c r="W104" s="28">
        <f>MAX(0,U104-MAX(R104+T104,H104*Assumptions!$B$10))</f>
        <v/>
      </c>
      <c r="X104" s="29">
        <f>W104*G104</f>
        <v/>
      </c>
      <c r="Y104" s="28">
        <f>IF(U104&lt;=R104,"REORDER NOW",IF(W104&gt;0,"EXCESS - pause orders / promote","OK"))</f>
        <v/>
      </c>
      <c r="Z104" s="28">
        <f>IF(Y104="REORDER NOW",T104,0)</f>
        <v/>
      </c>
    </row>
    <row r="105">
      <c r="A105" s="5" t="inlineStr">
        <is>
          <t>P0071</t>
        </is>
      </c>
      <c r="B105" s="5" t="inlineStr">
        <is>
          <t>Outdoor Item 071</t>
        </is>
      </c>
      <c r="C105" s="5" t="inlineStr">
        <is>
          <t>Outdoor &amp; Garden</t>
        </is>
      </c>
      <c r="D105" s="5" t="inlineStr">
        <is>
          <t>S02</t>
        </is>
      </c>
      <c r="E105" s="5" t="inlineStr">
        <is>
          <t>C</t>
        </is>
      </c>
      <c r="F105" s="5" t="inlineStr">
        <is>
          <t>Y</t>
        </is>
      </c>
      <c r="G105" s="22" t="n">
        <v>30.54</v>
      </c>
      <c r="H105" s="23" t="n">
        <v>0.638</v>
      </c>
      <c r="I105" s="23" t="n">
        <v>0.944</v>
      </c>
      <c r="J105" s="24" t="n">
        <v>10.431</v>
      </c>
      <c r="K105" s="24" t="n">
        <v>1.544</v>
      </c>
      <c r="L105" s="25" t="n">
        <v>50</v>
      </c>
      <c r="M105" s="25" t="n">
        <v>42</v>
      </c>
      <c r="N105" s="25" t="n">
        <v>0</v>
      </c>
      <c r="O105" s="26">
        <f>INDEX(Assumptions!$B$13:$B$15,MATCH(E105,Assumptions!$A$13:$A$15,0))</f>
        <v/>
      </c>
      <c r="P105" s="27">
        <f>NORMSINV(O105)</f>
        <v/>
      </c>
      <c r="Q105" s="28">
        <f>ROUNDUP(P105*SQRT(J105*I105^2+H105^2*K105^2),0)</f>
        <v/>
      </c>
      <c r="R105" s="28">
        <f>ROUNDUP(H105*J105+Q105,0)</f>
        <v/>
      </c>
      <c r="S105" s="28">
        <f>IF(H105&gt;0,ROUNDUP(SQRT(2*H105*365*Assumptions!$B$5/(Assumptions!$B$6*G105)),0),0)</f>
        <v/>
      </c>
      <c r="T105" s="28">
        <f>MAX(S105,L105)</f>
        <v/>
      </c>
      <c r="U105" s="28">
        <f>M105+N105</f>
        <v/>
      </c>
      <c r="V105" s="28">
        <f>IF(H105&gt;0,M105/H105,999)</f>
        <v/>
      </c>
      <c r="W105" s="28">
        <f>MAX(0,U105-MAX(R105+T105,H105*Assumptions!$B$10))</f>
        <v/>
      </c>
      <c r="X105" s="29">
        <f>W105*G105</f>
        <v/>
      </c>
      <c r="Y105" s="28">
        <f>IF(U105&lt;=R105,"REORDER NOW",IF(W105&gt;0,"EXCESS - pause orders / promote","OK"))</f>
        <v/>
      </c>
      <c r="Z105" s="28">
        <f>IF(Y105="REORDER NOW",T105,0)</f>
        <v/>
      </c>
    </row>
    <row r="106">
      <c r="A106" s="5" t="inlineStr">
        <is>
          <t>P0074</t>
        </is>
      </c>
      <c r="B106" s="5" t="inlineStr">
        <is>
          <t>Outdoor Item 074</t>
        </is>
      </c>
      <c r="C106" s="5" t="inlineStr">
        <is>
          <t>Outdoor &amp; Garden</t>
        </is>
      </c>
      <c r="D106" s="5" t="inlineStr">
        <is>
          <t>S02</t>
        </is>
      </c>
      <c r="E106" s="5" t="inlineStr">
        <is>
          <t>C</t>
        </is>
      </c>
      <c r="F106" s="5" t="inlineStr">
        <is>
          <t>Y</t>
        </is>
      </c>
      <c r="G106" s="22" t="n">
        <v>10.34</v>
      </c>
      <c r="H106" s="23" t="n">
        <v>0.116</v>
      </c>
      <c r="I106" s="23" t="n">
        <v>0.467</v>
      </c>
      <c r="J106" s="24" t="n">
        <v>10.431</v>
      </c>
      <c r="K106" s="24" t="n">
        <v>1.544</v>
      </c>
      <c r="L106" s="25" t="n">
        <v>50</v>
      </c>
      <c r="M106" s="25" t="n">
        <v>12</v>
      </c>
      <c r="N106" s="25" t="n">
        <v>0</v>
      </c>
      <c r="O106" s="26">
        <f>INDEX(Assumptions!$B$13:$B$15,MATCH(E106,Assumptions!$A$13:$A$15,0))</f>
        <v/>
      </c>
      <c r="P106" s="27">
        <f>NORMSINV(O106)</f>
        <v/>
      </c>
      <c r="Q106" s="28">
        <f>ROUNDUP(P106*SQRT(J106*I106^2+H106^2*K106^2),0)</f>
        <v/>
      </c>
      <c r="R106" s="28">
        <f>ROUNDUP(H106*J106+Q106,0)</f>
        <v/>
      </c>
      <c r="S106" s="28">
        <f>IF(H106&gt;0,ROUNDUP(SQRT(2*H106*365*Assumptions!$B$5/(Assumptions!$B$6*G106)),0),0)</f>
        <v/>
      </c>
      <c r="T106" s="28">
        <f>MAX(S106,L106)</f>
        <v/>
      </c>
      <c r="U106" s="28">
        <f>M106+N106</f>
        <v/>
      </c>
      <c r="V106" s="28">
        <f>IF(H106&gt;0,M106/H106,999)</f>
        <v/>
      </c>
      <c r="W106" s="28">
        <f>MAX(0,U106-MAX(R106+T106,H106*Assumptions!$B$10))</f>
        <v/>
      </c>
      <c r="X106" s="29">
        <f>W106*G106</f>
        <v/>
      </c>
      <c r="Y106" s="28">
        <f>IF(U106&lt;=R106,"REORDER NOW",IF(W106&gt;0,"EXCESS - pause orders / promote","OK"))</f>
        <v/>
      </c>
      <c r="Z106" s="28">
        <f>IF(Y106="REORDER NOW",T106,0)</f>
        <v/>
      </c>
    </row>
    <row r="107">
      <c r="A107" s="5" t="inlineStr">
        <is>
          <t>P0076</t>
        </is>
      </c>
      <c r="B107" s="5" t="inlineStr">
        <is>
          <t>Outdoor Item 076</t>
        </is>
      </c>
      <c r="C107" s="5" t="inlineStr">
        <is>
          <t>Outdoor &amp; Garden</t>
        </is>
      </c>
      <c r="D107" s="5" t="inlineStr">
        <is>
          <t>S10</t>
        </is>
      </c>
      <c r="E107" s="5" t="inlineStr">
        <is>
          <t>C</t>
        </is>
      </c>
      <c r="F107" s="5" t="inlineStr">
        <is>
          <t>Y</t>
        </is>
      </c>
      <c r="G107" s="22" t="n">
        <v>15.88</v>
      </c>
      <c r="H107" s="23" t="n">
        <v>0.863</v>
      </c>
      <c r="I107" s="23" t="n">
        <v>1.104</v>
      </c>
      <c r="J107" s="24" t="n">
        <v>21.86</v>
      </c>
      <c r="K107" s="24" t="n">
        <v>2.931</v>
      </c>
      <c r="L107" s="25" t="n">
        <v>120</v>
      </c>
      <c r="M107" s="25" t="n">
        <v>108</v>
      </c>
      <c r="N107" s="25" t="n">
        <v>0</v>
      </c>
      <c r="O107" s="26">
        <f>INDEX(Assumptions!$B$13:$B$15,MATCH(E107,Assumptions!$A$13:$A$15,0))</f>
        <v/>
      </c>
      <c r="P107" s="27">
        <f>NORMSINV(O107)</f>
        <v/>
      </c>
      <c r="Q107" s="28">
        <f>ROUNDUP(P107*SQRT(J107*I107^2+H107^2*K107^2),0)</f>
        <v/>
      </c>
      <c r="R107" s="28">
        <f>ROUNDUP(H107*J107+Q107,0)</f>
        <v/>
      </c>
      <c r="S107" s="28">
        <f>IF(H107&gt;0,ROUNDUP(SQRT(2*H107*365*Assumptions!$B$5/(Assumptions!$B$6*G107)),0),0)</f>
        <v/>
      </c>
      <c r="T107" s="28">
        <f>MAX(S107,L107)</f>
        <v/>
      </c>
      <c r="U107" s="28">
        <f>M107+N107</f>
        <v/>
      </c>
      <c r="V107" s="28">
        <f>IF(H107&gt;0,M107/H107,999)</f>
        <v/>
      </c>
      <c r="W107" s="28">
        <f>MAX(0,U107-MAX(R107+T107,H107*Assumptions!$B$10))</f>
        <v/>
      </c>
      <c r="X107" s="29">
        <f>W107*G107</f>
        <v/>
      </c>
      <c r="Y107" s="28">
        <f>IF(U107&lt;=R107,"REORDER NOW",IF(W107&gt;0,"EXCESS - pause orders / promote","OK"))</f>
        <v/>
      </c>
      <c r="Z107" s="28">
        <f>IF(Y107="REORDER NOW",T107,0)</f>
        <v/>
      </c>
    </row>
    <row r="108">
      <c r="A108" s="5" t="inlineStr">
        <is>
          <t>P0077</t>
        </is>
      </c>
      <c r="B108" s="5" t="inlineStr">
        <is>
          <t>Outdoor Item 077</t>
        </is>
      </c>
      <c r="C108" s="5" t="inlineStr">
        <is>
          <t>Outdoor &amp; Garden</t>
        </is>
      </c>
      <c r="D108" s="5" t="inlineStr">
        <is>
          <t>S02</t>
        </is>
      </c>
      <c r="E108" s="5" t="inlineStr">
        <is>
          <t>C</t>
        </is>
      </c>
      <c r="F108" s="5" t="inlineStr">
        <is>
          <t>Y</t>
        </is>
      </c>
      <c r="G108" s="22" t="n">
        <v>15.44</v>
      </c>
      <c r="H108" s="23" t="n">
        <v>0.383</v>
      </c>
      <c r="I108" s="23" t="n">
        <v>0.654</v>
      </c>
      <c r="J108" s="24" t="n">
        <v>10.431</v>
      </c>
      <c r="K108" s="24" t="n">
        <v>1.544</v>
      </c>
      <c r="L108" s="25" t="n">
        <v>50</v>
      </c>
      <c r="M108" s="25" t="n">
        <v>34</v>
      </c>
      <c r="N108" s="25" t="n">
        <v>0</v>
      </c>
      <c r="O108" s="26">
        <f>INDEX(Assumptions!$B$13:$B$15,MATCH(E108,Assumptions!$A$13:$A$15,0))</f>
        <v/>
      </c>
      <c r="P108" s="27">
        <f>NORMSINV(O108)</f>
        <v/>
      </c>
      <c r="Q108" s="28">
        <f>ROUNDUP(P108*SQRT(J108*I108^2+H108^2*K108^2),0)</f>
        <v/>
      </c>
      <c r="R108" s="28">
        <f>ROUNDUP(H108*J108+Q108,0)</f>
        <v/>
      </c>
      <c r="S108" s="28">
        <f>IF(H108&gt;0,ROUNDUP(SQRT(2*H108*365*Assumptions!$B$5/(Assumptions!$B$6*G108)),0),0)</f>
        <v/>
      </c>
      <c r="T108" s="28">
        <f>MAX(S108,L108)</f>
        <v/>
      </c>
      <c r="U108" s="28">
        <f>M108+N108</f>
        <v/>
      </c>
      <c r="V108" s="28">
        <f>IF(H108&gt;0,M108/H108,999)</f>
        <v/>
      </c>
      <c r="W108" s="28">
        <f>MAX(0,U108-MAX(R108+T108,H108*Assumptions!$B$10))</f>
        <v/>
      </c>
      <c r="X108" s="29">
        <f>W108*G108</f>
        <v/>
      </c>
      <c r="Y108" s="28">
        <f>IF(U108&lt;=R108,"REORDER NOW",IF(W108&gt;0,"EXCESS - pause orders / promote","OK"))</f>
        <v/>
      </c>
      <c r="Z108" s="28">
        <f>IF(Y108="REORDER NOW",T108,0)</f>
        <v/>
      </c>
    </row>
    <row r="109">
      <c r="A109" s="5" t="inlineStr">
        <is>
          <t>P0078</t>
        </is>
      </c>
      <c r="B109" s="5" t="inlineStr">
        <is>
          <t>Outdoor Item 078</t>
        </is>
      </c>
      <c r="C109" s="5" t="inlineStr">
        <is>
          <t>Outdoor &amp; Garden</t>
        </is>
      </c>
      <c r="D109" s="5" t="inlineStr">
        <is>
          <t>S02</t>
        </is>
      </c>
      <c r="E109" s="5" t="inlineStr">
        <is>
          <t>C</t>
        </is>
      </c>
      <c r="F109" s="5" t="inlineStr">
        <is>
          <t>Y</t>
        </is>
      </c>
      <c r="G109" s="22" t="n">
        <v>9.98</v>
      </c>
      <c r="H109" s="23" t="n">
        <v>0.539</v>
      </c>
      <c r="I109" s="23" t="n">
        <v>0.8070000000000001</v>
      </c>
      <c r="J109" s="24" t="n">
        <v>10.431</v>
      </c>
      <c r="K109" s="24" t="n">
        <v>1.544</v>
      </c>
      <c r="L109" s="25" t="n">
        <v>50</v>
      </c>
      <c r="M109" s="25" t="n">
        <v>8</v>
      </c>
      <c r="N109" s="25" t="n">
        <v>50</v>
      </c>
      <c r="O109" s="26">
        <f>INDEX(Assumptions!$B$13:$B$15,MATCH(E109,Assumptions!$A$13:$A$15,0))</f>
        <v/>
      </c>
      <c r="P109" s="27">
        <f>NORMSINV(O109)</f>
        <v/>
      </c>
      <c r="Q109" s="28">
        <f>ROUNDUP(P109*SQRT(J109*I109^2+H109^2*K109^2),0)</f>
        <v/>
      </c>
      <c r="R109" s="28">
        <f>ROUNDUP(H109*J109+Q109,0)</f>
        <v/>
      </c>
      <c r="S109" s="28">
        <f>IF(H109&gt;0,ROUNDUP(SQRT(2*H109*365*Assumptions!$B$5/(Assumptions!$B$6*G109)),0),0)</f>
        <v/>
      </c>
      <c r="T109" s="28">
        <f>MAX(S109,L109)</f>
        <v/>
      </c>
      <c r="U109" s="28">
        <f>M109+N109</f>
        <v/>
      </c>
      <c r="V109" s="28">
        <f>IF(H109&gt;0,M109/H109,999)</f>
        <v/>
      </c>
      <c r="W109" s="28">
        <f>MAX(0,U109-MAX(R109+T109,H109*Assumptions!$B$10))</f>
        <v/>
      </c>
      <c r="X109" s="29">
        <f>W109*G109</f>
        <v/>
      </c>
      <c r="Y109" s="28">
        <f>IF(U109&lt;=R109,"REORDER NOW",IF(W109&gt;0,"EXCESS - pause orders / promote","OK"))</f>
        <v/>
      </c>
      <c r="Z109" s="28">
        <f>IF(Y109="REORDER NOW",T109,0)</f>
        <v/>
      </c>
    </row>
    <row r="110">
      <c r="A110" s="5" t="inlineStr">
        <is>
          <t>P0079</t>
        </is>
      </c>
      <c r="B110" s="5" t="inlineStr">
        <is>
          <t>Outdoor Item 079</t>
        </is>
      </c>
      <c r="C110" s="5" t="inlineStr">
        <is>
          <t>Outdoor &amp; Garden</t>
        </is>
      </c>
      <c r="D110" s="5" t="inlineStr">
        <is>
          <t>S08</t>
        </is>
      </c>
      <c r="E110" s="5" t="inlineStr">
        <is>
          <t>C</t>
        </is>
      </c>
      <c r="F110" s="5" t="inlineStr">
        <is>
          <t>Y</t>
        </is>
      </c>
      <c r="G110" s="22" t="n">
        <v>29.72</v>
      </c>
      <c r="H110" s="23" t="n">
        <v>0.522</v>
      </c>
      <c r="I110" s="23" t="n">
        <v>0.71</v>
      </c>
      <c r="J110" s="24" t="n">
        <v>9.132</v>
      </c>
      <c r="K110" s="24" t="n">
        <v>1.033</v>
      </c>
      <c r="L110" s="25" t="n">
        <v>12</v>
      </c>
      <c r="M110" s="25" t="n">
        <v>16</v>
      </c>
      <c r="N110" s="25" t="n">
        <v>0</v>
      </c>
      <c r="O110" s="26">
        <f>INDEX(Assumptions!$B$13:$B$15,MATCH(E110,Assumptions!$A$13:$A$15,0))</f>
        <v/>
      </c>
      <c r="P110" s="27">
        <f>NORMSINV(O110)</f>
        <v/>
      </c>
      <c r="Q110" s="28">
        <f>ROUNDUP(P110*SQRT(J110*I110^2+H110^2*K110^2),0)</f>
        <v/>
      </c>
      <c r="R110" s="28">
        <f>ROUNDUP(H110*J110+Q110,0)</f>
        <v/>
      </c>
      <c r="S110" s="28">
        <f>IF(H110&gt;0,ROUNDUP(SQRT(2*H110*365*Assumptions!$B$5/(Assumptions!$B$6*G110)),0),0)</f>
        <v/>
      </c>
      <c r="T110" s="28">
        <f>MAX(S110,L110)</f>
        <v/>
      </c>
      <c r="U110" s="28">
        <f>M110+N110</f>
        <v/>
      </c>
      <c r="V110" s="28">
        <f>IF(H110&gt;0,M110/H110,999)</f>
        <v/>
      </c>
      <c r="W110" s="28">
        <f>MAX(0,U110-MAX(R110+T110,H110*Assumptions!$B$10))</f>
        <v/>
      </c>
      <c r="X110" s="29">
        <f>W110*G110</f>
        <v/>
      </c>
      <c r="Y110" s="28">
        <f>IF(U110&lt;=R110,"REORDER NOW",IF(W110&gt;0,"EXCESS - pause orders / promote","OK"))</f>
        <v/>
      </c>
      <c r="Z110" s="28">
        <f>IF(Y110="REORDER NOW",T110,0)</f>
        <v/>
      </c>
    </row>
    <row r="111">
      <c r="A111" s="5" t="inlineStr">
        <is>
          <t>P0081</t>
        </is>
      </c>
      <c r="B111" s="5" t="inlineStr">
        <is>
          <t>Office Item 081</t>
        </is>
      </c>
      <c r="C111" s="5" t="inlineStr">
        <is>
          <t>Office Supplies</t>
        </is>
      </c>
      <c r="D111" s="5" t="inlineStr">
        <is>
          <t>S10</t>
        </is>
      </c>
      <c r="E111" s="5" t="inlineStr">
        <is>
          <t>C</t>
        </is>
      </c>
      <c r="F111" s="5" t="inlineStr">
        <is>
          <t>X</t>
        </is>
      </c>
      <c r="G111" s="22" t="n">
        <v>4.12</v>
      </c>
      <c r="H111" s="23" t="n">
        <v>1.521</v>
      </c>
      <c r="I111" s="23" t="n">
        <v>1.13</v>
      </c>
      <c r="J111" s="24" t="n">
        <v>21.86</v>
      </c>
      <c r="K111" s="24" t="n">
        <v>2.931</v>
      </c>
      <c r="L111" s="25" t="n">
        <v>120</v>
      </c>
      <c r="M111" s="25" t="n">
        <v>63</v>
      </c>
      <c r="N111" s="25" t="n">
        <v>0</v>
      </c>
      <c r="O111" s="26">
        <f>INDEX(Assumptions!$B$13:$B$15,MATCH(E111,Assumptions!$A$13:$A$15,0))</f>
        <v/>
      </c>
      <c r="P111" s="27">
        <f>NORMSINV(O111)</f>
        <v/>
      </c>
      <c r="Q111" s="28">
        <f>ROUNDUP(P111*SQRT(J111*I111^2+H111^2*K111^2),0)</f>
        <v/>
      </c>
      <c r="R111" s="28">
        <f>ROUNDUP(H111*J111+Q111,0)</f>
        <v/>
      </c>
      <c r="S111" s="28">
        <f>IF(H111&gt;0,ROUNDUP(SQRT(2*H111*365*Assumptions!$B$5/(Assumptions!$B$6*G111)),0),0)</f>
        <v/>
      </c>
      <c r="T111" s="28">
        <f>MAX(S111,L111)</f>
        <v/>
      </c>
      <c r="U111" s="28">
        <f>M111+N111</f>
        <v/>
      </c>
      <c r="V111" s="28">
        <f>IF(H111&gt;0,M111/H111,999)</f>
        <v/>
      </c>
      <c r="W111" s="28">
        <f>MAX(0,U111-MAX(R111+T111,H111*Assumptions!$B$10))</f>
        <v/>
      </c>
      <c r="X111" s="29">
        <f>W111*G111</f>
        <v/>
      </c>
      <c r="Y111" s="28">
        <f>IF(U111&lt;=R111,"REORDER NOW",IF(W111&gt;0,"EXCESS - pause orders / promote","OK"))</f>
        <v/>
      </c>
      <c r="Z111" s="28">
        <f>IF(Y111="REORDER NOW",T111,0)</f>
        <v/>
      </c>
    </row>
    <row r="112">
      <c r="A112" s="5" t="inlineStr">
        <is>
          <t>P0082</t>
        </is>
      </c>
      <c r="B112" s="5" t="inlineStr">
        <is>
          <t>Office Item 082</t>
        </is>
      </c>
      <c r="C112" s="5" t="inlineStr">
        <is>
          <t>Office Supplies</t>
        </is>
      </c>
      <c r="D112" s="5" t="inlineStr">
        <is>
          <t>S05</t>
        </is>
      </c>
      <c r="E112" s="5" t="inlineStr">
        <is>
          <t>C</t>
        </is>
      </c>
      <c r="F112" s="5" t="inlineStr">
        <is>
          <t>X</t>
        </is>
      </c>
      <c r="G112" s="22" t="n">
        <v>2.22</v>
      </c>
      <c r="H112" s="23" t="n">
        <v>7.452</v>
      </c>
      <c r="I112" s="23" t="n">
        <v>2.435</v>
      </c>
      <c r="J112" s="24" t="n">
        <v>8.19</v>
      </c>
      <c r="K112" s="24" t="n">
        <v>1.086</v>
      </c>
      <c r="L112" s="25" t="n">
        <v>24</v>
      </c>
      <c r="M112" s="25" t="n">
        <v>96</v>
      </c>
      <c r="N112" s="25" t="n">
        <v>0</v>
      </c>
      <c r="O112" s="26">
        <f>INDEX(Assumptions!$B$13:$B$15,MATCH(E112,Assumptions!$A$13:$A$15,0))</f>
        <v/>
      </c>
      <c r="P112" s="27">
        <f>NORMSINV(O112)</f>
        <v/>
      </c>
      <c r="Q112" s="28">
        <f>ROUNDUP(P112*SQRT(J112*I112^2+H112^2*K112^2),0)</f>
        <v/>
      </c>
      <c r="R112" s="28">
        <f>ROUNDUP(H112*J112+Q112,0)</f>
        <v/>
      </c>
      <c r="S112" s="28">
        <f>IF(H112&gt;0,ROUNDUP(SQRT(2*H112*365*Assumptions!$B$5/(Assumptions!$B$6*G112)),0),0)</f>
        <v/>
      </c>
      <c r="T112" s="28">
        <f>MAX(S112,L112)</f>
        <v/>
      </c>
      <c r="U112" s="28">
        <f>M112+N112</f>
        <v/>
      </c>
      <c r="V112" s="28">
        <f>IF(H112&gt;0,M112/H112,999)</f>
        <v/>
      </c>
      <c r="W112" s="28">
        <f>MAX(0,U112-MAX(R112+T112,H112*Assumptions!$B$10))</f>
        <v/>
      </c>
      <c r="X112" s="29">
        <f>W112*G112</f>
        <v/>
      </c>
      <c r="Y112" s="28">
        <f>IF(U112&lt;=R112,"REORDER NOW",IF(W112&gt;0,"EXCESS - pause orders / promote","OK"))</f>
        <v/>
      </c>
      <c r="Z112" s="28">
        <f>IF(Y112="REORDER NOW",T112,0)</f>
        <v/>
      </c>
    </row>
    <row r="113">
      <c r="A113" s="5" t="inlineStr">
        <is>
          <t>P0083</t>
        </is>
      </c>
      <c r="B113" s="5" t="inlineStr">
        <is>
          <t>Office Item 083</t>
        </is>
      </c>
      <c r="C113" s="5" t="inlineStr">
        <is>
          <t>Office Supplies</t>
        </is>
      </c>
      <c r="D113" s="5" t="inlineStr">
        <is>
          <t>S05</t>
        </is>
      </c>
      <c r="E113" s="5" t="inlineStr">
        <is>
          <t>C</t>
        </is>
      </c>
      <c r="F113" s="5" t="inlineStr">
        <is>
          <t>Y</t>
        </is>
      </c>
      <c r="G113" s="22" t="n">
        <v>2.03</v>
      </c>
      <c r="H113" s="23" t="n">
        <v>0.665</v>
      </c>
      <c r="I113" s="23" t="n">
        <v>0.676</v>
      </c>
      <c r="J113" s="24" t="n">
        <v>8.19</v>
      </c>
      <c r="K113" s="24" t="n">
        <v>1.086</v>
      </c>
      <c r="L113" s="25" t="n">
        <v>24</v>
      </c>
      <c r="M113" s="25" t="n">
        <v>40</v>
      </c>
      <c r="N113" s="25" t="n">
        <v>0</v>
      </c>
      <c r="O113" s="26">
        <f>INDEX(Assumptions!$B$13:$B$15,MATCH(E113,Assumptions!$A$13:$A$15,0))</f>
        <v/>
      </c>
      <c r="P113" s="27">
        <f>NORMSINV(O113)</f>
        <v/>
      </c>
      <c r="Q113" s="28">
        <f>ROUNDUP(P113*SQRT(J113*I113^2+H113^2*K113^2),0)</f>
        <v/>
      </c>
      <c r="R113" s="28">
        <f>ROUNDUP(H113*J113+Q113,0)</f>
        <v/>
      </c>
      <c r="S113" s="28">
        <f>IF(H113&gt;0,ROUNDUP(SQRT(2*H113*365*Assumptions!$B$5/(Assumptions!$B$6*G113)),0),0)</f>
        <v/>
      </c>
      <c r="T113" s="28">
        <f>MAX(S113,L113)</f>
        <v/>
      </c>
      <c r="U113" s="28">
        <f>M113+N113</f>
        <v/>
      </c>
      <c r="V113" s="28">
        <f>IF(H113&gt;0,M113/H113,999)</f>
        <v/>
      </c>
      <c r="W113" s="28">
        <f>MAX(0,U113-MAX(R113+T113,H113*Assumptions!$B$10))</f>
        <v/>
      </c>
      <c r="X113" s="29">
        <f>W113*G113</f>
        <v/>
      </c>
      <c r="Y113" s="28">
        <f>IF(U113&lt;=R113,"REORDER NOW",IF(W113&gt;0,"EXCESS - pause orders / promote","OK"))</f>
        <v/>
      </c>
      <c r="Z113" s="28">
        <f>IF(Y113="REORDER NOW",T113,0)</f>
        <v/>
      </c>
    </row>
    <row r="114">
      <c r="A114" s="5" t="inlineStr">
        <is>
          <t>P0084</t>
        </is>
      </c>
      <c r="B114" s="5" t="inlineStr">
        <is>
          <t>Office Item 084</t>
        </is>
      </c>
      <c r="C114" s="5" t="inlineStr">
        <is>
          <t>Office Supplies</t>
        </is>
      </c>
      <c r="D114" s="5" t="inlineStr">
        <is>
          <t>S10</t>
        </is>
      </c>
      <c r="E114" s="5" t="inlineStr">
        <is>
          <t>C</t>
        </is>
      </c>
      <c r="F114" s="5" t="inlineStr">
        <is>
          <t>X</t>
        </is>
      </c>
      <c r="G114" s="22" t="n">
        <v>2.01</v>
      </c>
      <c r="H114" s="23" t="n">
        <v>4.9</v>
      </c>
      <c r="I114" s="23" t="n">
        <v>1.963</v>
      </c>
      <c r="J114" s="24" t="n">
        <v>21.86</v>
      </c>
      <c r="K114" s="24" t="n">
        <v>2.931</v>
      </c>
      <c r="L114" s="25" t="n">
        <v>120</v>
      </c>
      <c r="M114" s="25" t="n">
        <v>7</v>
      </c>
      <c r="N114" s="25" t="n">
        <v>120</v>
      </c>
      <c r="O114" s="26">
        <f>INDEX(Assumptions!$B$13:$B$15,MATCH(E114,Assumptions!$A$13:$A$15,0))</f>
        <v/>
      </c>
      <c r="P114" s="27">
        <f>NORMSINV(O114)</f>
        <v/>
      </c>
      <c r="Q114" s="28">
        <f>ROUNDUP(P114*SQRT(J114*I114^2+H114^2*K114^2),0)</f>
        <v/>
      </c>
      <c r="R114" s="28">
        <f>ROUNDUP(H114*J114+Q114,0)</f>
        <v/>
      </c>
      <c r="S114" s="28">
        <f>IF(H114&gt;0,ROUNDUP(SQRT(2*H114*365*Assumptions!$B$5/(Assumptions!$B$6*G114)),0),0)</f>
        <v/>
      </c>
      <c r="T114" s="28">
        <f>MAX(S114,L114)</f>
        <v/>
      </c>
      <c r="U114" s="28">
        <f>M114+N114</f>
        <v/>
      </c>
      <c r="V114" s="28">
        <f>IF(H114&gt;0,M114/H114,999)</f>
        <v/>
      </c>
      <c r="W114" s="28">
        <f>MAX(0,U114-MAX(R114+T114,H114*Assumptions!$B$10))</f>
        <v/>
      </c>
      <c r="X114" s="29">
        <f>W114*G114</f>
        <v/>
      </c>
      <c r="Y114" s="28">
        <f>IF(U114&lt;=R114,"REORDER NOW",IF(W114&gt;0,"EXCESS - pause orders / promote","OK"))</f>
        <v/>
      </c>
      <c r="Z114" s="28">
        <f>IF(Y114="REORDER NOW",T114,0)</f>
        <v/>
      </c>
    </row>
    <row r="115">
      <c r="A115" s="5" t="inlineStr">
        <is>
          <t>P0087</t>
        </is>
      </c>
      <c r="B115" s="5" t="inlineStr">
        <is>
          <t>Office Item 087</t>
        </is>
      </c>
      <c r="C115" s="5" t="inlineStr">
        <is>
          <t>Office Supplies</t>
        </is>
      </c>
      <c r="D115" s="5" t="inlineStr">
        <is>
          <t>S08</t>
        </is>
      </c>
      <c r="E115" s="5" t="inlineStr">
        <is>
          <t>C</t>
        </is>
      </c>
      <c r="F115" s="5" t="inlineStr">
        <is>
          <t>X</t>
        </is>
      </c>
      <c r="G115" s="22" t="n">
        <v>6.9</v>
      </c>
      <c r="H115" s="23" t="n">
        <v>3.057</v>
      </c>
      <c r="I115" s="23" t="n">
        <v>1.628</v>
      </c>
      <c r="J115" s="24" t="n">
        <v>9.132</v>
      </c>
      <c r="K115" s="24" t="n">
        <v>1.033</v>
      </c>
      <c r="L115" s="25" t="n">
        <v>12</v>
      </c>
      <c r="M115" s="25" t="n">
        <v>22</v>
      </c>
      <c r="N115" s="25" t="n">
        <v>77</v>
      </c>
      <c r="O115" s="26">
        <f>INDEX(Assumptions!$B$13:$B$15,MATCH(E115,Assumptions!$A$13:$A$15,0))</f>
        <v/>
      </c>
      <c r="P115" s="27">
        <f>NORMSINV(O115)</f>
        <v/>
      </c>
      <c r="Q115" s="28">
        <f>ROUNDUP(P115*SQRT(J115*I115^2+H115^2*K115^2),0)</f>
        <v/>
      </c>
      <c r="R115" s="28">
        <f>ROUNDUP(H115*J115+Q115,0)</f>
        <v/>
      </c>
      <c r="S115" s="28">
        <f>IF(H115&gt;0,ROUNDUP(SQRT(2*H115*365*Assumptions!$B$5/(Assumptions!$B$6*G115)),0),0)</f>
        <v/>
      </c>
      <c r="T115" s="28">
        <f>MAX(S115,L115)</f>
        <v/>
      </c>
      <c r="U115" s="28">
        <f>M115+N115</f>
        <v/>
      </c>
      <c r="V115" s="28">
        <f>IF(H115&gt;0,M115/H115,999)</f>
        <v/>
      </c>
      <c r="W115" s="28">
        <f>MAX(0,U115-MAX(R115+T115,H115*Assumptions!$B$10))</f>
        <v/>
      </c>
      <c r="X115" s="29">
        <f>W115*G115</f>
        <v/>
      </c>
      <c r="Y115" s="28">
        <f>IF(U115&lt;=R115,"REORDER NOW",IF(W115&gt;0,"EXCESS - pause orders / promote","OK"))</f>
        <v/>
      </c>
      <c r="Z115" s="28">
        <f>IF(Y115="REORDER NOW",T115,0)</f>
        <v/>
      </c>
    </row>
    <row r="116">
      <c r="A116" s="5" t="inlineStr">
        <is>
          <t>P0088</t>
        </is>
      </c>
      <c r="B116" s="5" t="inlineStr">
        <is>
          <t>Office Item 088</t>
        </is>
      </c>
      <c r="C116" s="5" t="inlineStr">
        <is>
          <t>Office Supplies</t>
        </is>
      </c>
      <c r="D116" s="5" t="inlineStr">
        <is>
          <t>S04</t>
        </is>
      </c>
      <c r="E116" s="5" t="inlineStr">
        <is>
          <t>C</t>
        </is>
      </c>
      <c r="F116" s="5" t="inlineStr">
        <is>
          <t>X</t>
        </is>
      </c>
      <c r="G116" s="22" t="n">
        <v>13.66</v>
      </c>
      <c r="H116" s="23" t="n">
        <v>1.042</v>
      </c>
      <c r="I116" s="23" t="n">
        <v>0.903</v>
      </c>
      <c r="J116" s="24" t="n">
        <v>39.643</v>
      </c>
      <c r="K116" s="24" t="n">
        <v>7.265</v>
      </c>
      <c r="L116" s="25" t="n">
        <v>200</v>
      </c>
      <c r="M116" s="25" t="n">
        <v>108</v>
      </c>
      <c r="N116" s="25" t="n">
        <v>0</v>
      </c>
      <c r="O116" s="26">
        <f>INDEX(Assumptions!$B$13:$B$15,MATCH(E116,Assumptions!$A$13:$A$15,0))</f>
        <v/>
      </c>
      <c r="P116" s="27">
        <f>NORMSINV(O116)</f>
        <v/>
      </c>
      <c r="Q116" s="28">
        <f>ROUNDUP(P116*SQRT(J116*I116^2+H116^2*K116^2),0)</f>
        <v/>
      </c>
      <c r="R116" s="28">
        <f>ROUNDUP(H116*J116+Q116,0)</f>
        <v/>
      </c>
      <c r="S116" s="28">
        <f>IF(H116&gt;0,ROUNDUP(SQRT(2*H116*365*Assumptions!$B$5/(Assumptions!$B$6*G116)),0),0)</f>
        <v/>
      </c>
      <c r="T116" s="28">
        <f>MAX(S116,L116)</f>
        <v/>
      </c>
      <c r="U116" s="28">
        <f>M116+N116</f>
        <v/>
      </c>
      <c r="V116" s="28">
        <f>IF(H116&gt;0,M116/H116,999)</f>
        <v/>
      </c>
      <c r="W116" s="28">
        <f>MAX(0,U116-MAX(R116+T116,H116*Assumptions!$B$10))</f>
        <v/>
      </c>
      <c r="X116" s="29">
        <f>W116*G116</f>
        <v/>
      </c>
      <c r="Y116" s="28">
        <f>IF(U116&lt;=R116,"REORDER NOW",IF(W116&gt;0,"EXCESS - pause orders / promote","OK"))</f>
        <v/>
      </c>
      <c r="Z116" s="28">
        <f>IF(Y116="REORDER NOW",T116,0)</f>
        <v/>
      </c>
    </row>
    <row r="117">
      <c r="A117" s="5" t="inlineStr">
        <is>
          <t>P0089</t>
        </is>
      </c>
      <c r="B117" s="5" t="inlineStr">
        <is>
          <t>Office Item 089</t>
        </is>
      </c>
      <c r="C117" s="5" t="inlineStr">
        <is>
          <t>Office Supplies</t>
        </is>
      </c>
      <c r="D117" s="5" t="inlineStr">
        <is>
          <t>S04</t>
        </is>
      </c>
      <c r="E117" s="5" t="inlineStr">
        <is>
          <t>C</t>
        </is>
      </c>
      <c r="F117" s="5" t="inlineStr">
        <is>
          <t>X</t>
        </is>
      </c>
      <c r="G117" s="22" t="n">
        <v>7.85</v>
      </c>
      <c r="H117" s="23" t="n">
        <v>0.615</v>
      </c>
      <c r="I117" s="23" t="n">
        <v>0.708</v>
      </c>
      <c r="J117" s="24" t="n">
        <v>39.643</v>
      </c>
      <c r="K117" s="24" t="n">
        <v>7.265</v>
      </c>
      <c r="L117" s="25" t="n">
        <v>200</v>
      </c>
      <c r="M117" s="25" t="n">
        <v>173</v>
      </c>
      <c r="N117" s="25" t="n">
        <v>0</v>
      </c>
      <c r="O117" s="26">
        <f>INDEX(Assumptions!$B$13:$B$15,MATCH(E117,Assumptions!$A$13:$A$15,0))</f>
        <v/>
      </c>
      <c r="P117" s="27">
        <f>NORMSINV(O117)</f>
        <v/>
      </c>
      <c r="Q117" s="28">
        <f>ROUNDUP(P117*SQRT(J117*I117^2+H117^2*K117^2),0)</f>
        <v/>
      </c>
      <c r="R117" s="28">
        <f>ROUNDUP(H117*J117+Q117,0)</f>
        <v/>
      </c>
      <c r="S117" s="28">
        <f>IF(H117&gt;0,ROUNDUP(SQRT(2*H117*365*Assumptions!$B$5/(Assumptions!$B$6*G117)),0),0)</f>
        <v/>
      </c>
      <c r="T117" s="28">
        <f>MAX(S117,L117)</f>
        <v/>
      </c>
      <c r="U117" s="28">
        <f>M117+N117</f>
        <v/>
      </c>
      <c r="V117" s="28">
        <f>IF(H117&gt;0,M117/H117,999)</f>
        <v/>
      </c>
      <c r="W117" s="28">
        <f>MAX(0,U117-MAX(R117+T117,H117*Assumptions!$B$10))</f>
        <v/>
      </c>
      <c r="X117" s="29">
        <f>W117*G117</f>
        <v/>
      </c>
      <c r="Y117" s="28">
        <f>IF(U117&lt;=R117,"REORDER NOW",IF(W117&gt;0,"EXCESS - pause orders / promote","OK"))</f>
        <v/>
      </c>
      <c r="Z117" s="28">
        <f>IF(Y117="REORDER NOW",T117,0)</f>
        <v/>
      </c>
    </row>
    <row r="118">
      <c r="A118" s="5" t="inlineStr">
        <is>
          <t>P0090</t>
        </is>
      </c>
      <c r="B118" s="5" t="inlineStr">
        <is>
          <t>Office Item 090</t>
        </is>
      </c>
      <c r="C118" s="5" t="inlineStr">
        <is>
          <t>Office Supplies</t>
        </is>
      </c>
      <c r="D118" s="5" t="inlineStr">
        <is>
          <t>S04</t>
        </is>
      </c>
      <c r="E118" s="5" t="inlineStr">
        <is>
          <t>C</t>
        </is>
      </c>
      <c r="F118" s="5" t="inlineStr">
        <is>
          <t>X</t>
        </is>
      </c>
      <c r="G118" s="22" t="n">
        <v>5.86</v>
      </c>
      <c r="H118" s="23" t="n">
        <v>2.1</v>
      </c>
      <c r="I118" s="23" t="n">
        <v>1.363</v>
      </c>
      <c r="J118" s="24" t="n">
        <v>39.643</v>
      </c>
      <c r="K118" s="24" t="n">
        <v>7.265</v>
      </c>
      <c r="L118" s="25" t="n">
        <v>200</v>
      </c>
      <c r="M118" s="25" t="n">
        <v>148</v>
      </c>
      <c r="N118" s="25" t="n">
        <v>0</v>
      </c>
      <c r="O118" s="26">
        <f>INDEX(Assumptions!$B$13:$B$15,MATCH(E118,Assumptions!$A$13:$A$15,0))</f>
        <v/>
      </c>
      <c r="P118" s="27">
        <f>NORMSINV(O118)</f>
        <v/>
      </c>
      <c r="Q118" s="28">
        <f>ROUNDUP(P118*SQRT(J118*I118^2+H118^2*K118^2),0)</f>
        <v/>
      </c>
      <c r="R118" s="28">
        <f>ROUNDUP(H118*J118+Q118,0)</f>
        <v/>
      </c>
      <c r="S118" s="28">
        <f>IF(H118&gt;0,ROUNDUP(SQRT(2*H118*365*Assumptions!$B$5/(Assumptions!$B$6*G118)),0),0)</f>
        <v/>
      </c>
      <c r="T118" s="28">
        <f>MAX(S118,L118)</f>
        <v/>
      </c>
      <c r="U118" s="28">
        <f>M118+N118</f>
        <v/>
      </c>
      <c r="V118" s="28">
        <f>IF(H118&gt;0,M118/H118,999)</f>
        <v/>
      </c>
      <c r="W118" s="28">
        <f>MAX(0,U118-MAX(R118+T118,H118*Assumptions!$B$10))</f>
        <v/>
      </c>
      <c r="X118" s="29">
        <f>W118*G118</f>
        <v/>
      </c>
      <c r="Y118" s="28">
        <f>IF(U118&lt;=R118,"REORDER NOW",IF(W118&gt;0,"EXCESS - pause orders / promote","OK"))</f>
        <v/>
      </c>
      <c r="Z118" s="28">
        <f>IF(Y118="REORDER NOW",T118,0)</f>
        <v/>
      </c>
    </row>
    <row r="119">
      <c r="A119" s="5" t="inlineStr">
        <is>
          <t>P0092</t>
        </is>
      </c>
      <c r="B119" s="5" t="inlineStr">
        <is>
          <t>Office Item 092</t>
        </is>
      </c>
      <c r="C119" s="5" t="inlineStr">
        <is>
          <t>Office Supplies</t>
        </is>
      </c>
      <c r="D119" s="5" t="inlineStr">
        <is>
          <t>S10</t>
        </is>
      </c>
      <c r="E119" s="5" t="inlineStr">
        <is>
          <t>C</t>
        </is>
      </c>
      <c r="F119" s="5" t="inlineStr">
        <is>
          <t>X</t>
        </is>
      </c>
      <c r="G119" s="22" t="n">
        <v>8.25</v>
      </c>
      <c r="H119" s="23" t="n">
        <v>1.967</v>
      </c>
      <c r="I119" s="23" t="n">
        <v>1.14</v>
      </c>
      <c r="J119" s="24" t="n">
        <v>21.86</v>
      </c>
      <c r="K119" s="24" t="n">
        <v>2.931</v>
      </c>
      <c r="L119" s="25" t="n">
        <v>120</v>
      </c>
      <c r="M119" s="25" t="n">
        <v>68</v>
      </c>
      <c r="N119" s="25" t="n">
        <v>0</v>
      </c>
      <c r="O119" s="26">
        <f>INDEX(Assumptions!$B$13:$B$15,MATCH(E119,Assumptions!$A$13:$A$15,0))</f>
        <v/>
      </c>
      <c r="P119" s="27">
        <f>NORMSINV(O119)</f>
        <v/>
      </c>
      <c r="Q119" s="28">
        <f>ROUNDUP(P119*SQRT(J119*I119^2+H119^2*K119^2),0)</f>
        <v/>
      </c>
      <c r="R119" s="28">
        <f>ROUNDUP(H119*J119+Q119,0)</f>
        <v/>
      </c>
      <c r="S119" s="28">
        <f>IF(H119&gt;0,ROUNDUP(SQRT(2*H119*365*Assumptions!$B$5/(Assumptions!$B$6*G119)),0),0)</f>
        <v/>
      </c>
      <c r="T119" s="28">
        <f>MAX(S119,L119)</f>
        <v/>
      </c>
      <c r="U119" s="28">
        <f>M119+N119</f>
        <v/>
      </c>
      <c r="V119" s="28">
        <f>IF(H119&gt;0,M119/H119,999)</f>
        <v/>
      </c>
      <c r="W119" s="28">
        <f>MAX(0,U119-MAX(R119+T119,H119*Assumptions!$B$10))</f>
        <v/>
      </c>
      <c r="X119" s="29">
        <f>W119*G119</f>
        <v/>
      </c>
      <c r="Y119" s="28">
        <f>IF(U119&lt;=R119,"REORDER NOW",IF(W119&gt;0,"EXCESS - pause orders / promote","OK"))</f>
        <v/>
      </c>
      <c r="Z119" s="28">
        <f>IF(Y119="REORDER NOW",T119,0)</f>
        <v/>
      </c>
    </row>
    <row r="120">
      <c r="A120" s="5" t="inlineStr">
        <is>
          <t>P0097</t>
        </is>
      </c>
      <c r="B120" s="5" t="inlineStr">
        <is>
          <t>Office Item 097</t>
        </is>
      </c>
      <c r="C120" s="5" t="inlineStr">
        <is>
          <t>Office Supplies</t>
        </is>
      </c>
      <c r="D120" s="5" t="inlineStr">
        <is>
          <t>S10</t>
        </is>
      </c>
      <c r="E120" s="5" t="inlineStr">
        <is>
          <t>C</t>
        </is>
      </c>
      <c r="F120" s="5" t="inlineStr">
        <is>
          <t>X</t>
        </is>
      </c>
      <c r="G120" s="22" t="n">
        <v>1.81</v>
      </c>
      <c r="H120" s="23" t="n">
        <v>0.618</v>
      </c>
      <c r="I120" s="23" t="n">
        <v>0.868</v>
      </c>
      <c r="J120" s="24" t="n">
        <v>21.86</v>
      </c>
      <c r="K120" s="24" t="n">
        <v>2.931</v>
      </c>
      <c r="L120" s="25" t="n">
        <v>120</v>
      </c>
      <c r="M120" s="25" t="n">
        <v>95</v>
      </c>
      <c r="N120" s="25" t="n">
        <v>0</v>
      </c>
      <c r="O120" s="26">
        <f>INDEX(Assumptions!$B$13:$B$15,MATCH(E120,Assumptions!$A$13:$A$15,0))</f>
        <v/>
      </c>
      <c r="P120" s="27">
        <f>NORMSINV(O120)</f>
        <v/>
      </c>
      <c r="Q120" s="28">
        <f>ROUNDUP(P120*SQRT(J120*I120^2+H120^2*K120^2),0)</f>
        <v/>
      </c>
      <c r="R120" s="28">
        <f>ROUNDUP(H120*J120+Q120,0)</f>
        <v/>
      </c>
      <c r="S120" s="28">
        <f>IF(H120&gt;0,ROUNDUP(SQRT(2*H120*365*Assumptions!$B$5/(Assumptions!$B$6*G120)),0),0)</f>
        <v/>
      </c>
      <c r="T120" s="28">
        <f>MAX(S120,L120)</f>
        <v/>
      </c>
      <c r="U120" s="28">
        <f>M120+N120</f>
        <v/>
      </c>
      <c r="V120" s="28">
        <f>IF(H120&gt;0,M120/H120,999)</f>
        <v/>
      </c>
      <c r="W120" s="28">
        <f>MAX(0,U120-MAX(R120+T120,H120*Assumptions!$B$10))</f>
        <v/>
      </c>
      <c r="X120" s="29">
        <f>W120*G120</f>
        <v/>
      </c>
      <c r="Y120" s="28">
        <f>IF(U120&lt;=R120,"REORDER NOW",IF(W120&gt;0,"EXCESS - pause orders / promote","OK"))</f>
        <v/>
      </c>
      <c r="Z120" s="28">
        <f>IF(Y120="REORDER NOW",T120,0)</f>
        <v/>
      </c>
    </row>
    <row r="121">
      <c r="A121" s="5" t="inlineStr">
        <is>
          <t>P0099</t>
        </is>
      </c>
      <c r="B121" s="5" t="inlineStr">
        <is>
          <t>Office Item 099</t>
        </is>
      </c>
      <c r="C121" s="5" t="inlineStr">
        <is>
          <t>Office Supplies</t>
        </is>
      </c>
      <c r="D121" s="5" t="inlineStr">
        <is>
          <t>S08</t>
        </is>
      </c>
      <c r="E121" s="5" t="inlineStr">
        <is>
          <t>C</t>
        </is>
      </c>
      <c r="F121" s="5" t="inlineStr">
        <is>
          <t>Y</t>
        </is>
      </c>
      <c r="G121" s="22" t="n">
        <v>15.14</v>
      </c>
      <c r="H121" s="23" t="n">
        <v>0.401</v>
      </c>
      <c r="I121" s="23" t="n">
        <v>0.702</v>
      </c>
      <c r="J121" s="24" t="n">
        <v>9.132</v>
      </c>
      <c r="K121" s="24" t="n">
        <v>1.033</v>
      </c>
      <c r="L121" s="25" t="n">
        <v>12</v>
      </c>
      <c r="M121" s="25" t="n">
        <v>143</v>
      </c>
      <c r="N121" s="25" t="n">
        <v>0</v>
      </c>
      <c r="O121" s="26">
        <f>INDEX(Assumptions!$B$13:$B$15,MATCH(E121,Assumptions!$A$13:$A$15,0))</f>
        <v/>
      </c>
      <c r="P121" s="27">
        <f>NORMSINV(O121)</f>
        <v/>
      </c>
      <c r="Q121" s="28">
        <f>ROUNDUP(P121*SQRT(J121*I121^2+H121^2*K121^2),0)</f>
        <v/>
      </c>
      <c r="R121" s="28">
        <f>ROUNDUP(H121*J121+Q121,0)</f>
        <v/>
      </c>
      <c r="S121" s="28">
        <f>IF(H121&gt;0,ROUNDUP(SQRT(2*H121*365*Assumptions!$B$5/(Assumptions!$B$6*G121)),0),0)</f>
        <v/>
      </c>
      <c r="T121" s="28">
        <f>MAX(S121,L121)</f>
        <v/>
      </c>
      <c r="U121" s="28">
        <f>M121+N121</f>
        <v/>
      </c>
      <c r="V121" s="28">
        <f>IF(H121&gt;0,M121/H121,999)</f>
        <v/>
      </c>
      <c r="W121" s="28">
        <f>MAX(0,U121-MAX(R121+T121,H121*Assumptions!$B$10))</f>
        <v/>
      </c>
      <c r="X121" s="29">
        <f>W121*G121</f>
        <v/>
      </c>
      <c r="Y121" s="28">
        <f>IF(U121&lt;=R121,"REORDER NOW",IF(W121&gt;0,"EXCESS - pause orders / promote","OK"))</f>
        <v/>
      </c>
      <c r="Z121" s="28">
        <f>IF(Y121="REORDER NOW",T121,0)</f>
        <v/>
      </c>
    </row>
    <row r="122">
      <c r="A122" s="5" t="inlineStr">
        <is>
          <t>P0100</t>
        </is>
      </c>
      <c r="B122" s="5" t="inlineStr">
        <is>
          <t>Office Item 100</t>
        </is>
      </c>
      <c r="C122" s="5" t="inlineStr">
        <is>
          <t>Office Supplies</t>
        </is>
      </c>
      <c r="D122" s="5" t="inlineStr">
        <is>
          <t>S06</t>
        </is>
      </c>
      <c r="E122" s="5" t="inlineStr">
        <is>
          <t>C</t>
        </is>
      </c>
      <c r="F122" s="5" t="inlineStr">
        <is>
          <t>X</t>
        </is>
      </c>
      <c r="G122" s="22" t="n">
        <v>2.25</v>
      </c>
      <c r="H122" s="23" t="n">
        <v>3.639</v>
      </c>
      <c r="I122" s="23" t="n">
        <v>1.513</v>
      </c>
      <c r="J122" s="24" t="n">
        <v>13.277</v>
      </c>
      <c r="K122" s="24" t="n">
        <v>2.821</v>
      </c>
      <c r="L122" s="25" t="n">
        <v>48</v>
      </c>
      <c r="M122" s="25" t="n">
        <v>30</v>
      </c>
      <c r="N122" s="25" t="n">
        <v>0</v>
      </c>
      <c r="O122" s="26">
        <f>INDEX(Assumptions!$B$13:$B$15,MATCH(E122,Assumptions!$A$13:$A$15,0))</f>
        <v/>
      </c>
      <c r="P122" s="27">
        <f>NORMSINV(O122)</f>
        <v/>
      </c>
      <c r="Q122" s="28">
        <f>ROUNDUP(P122*SQRT(J122*I122^2+H122^2*K122^2),0)</f>
        <v/>
      </c>
      <c r="R122" s="28">
        <f>ROUNDUP(H122*J122+Q122,0)</f>
        <v/>
      </c>
      <c r="S122" s="28">
        <f>IF(H122&gt;0,ROUNDUP(SQRT(2*H122*365*Assumptions!$B$5/(Assumptions!$B$6*G122)),0),0)</f>
        <v/>
      </c>
      <c r="T122" s="28">
        <f>MAX(S122,L122)</f>
        <v/>
      </c>
      <c r="U122" s="28">
        <f>M122+N122</f>
        <v/>
      </c>
      <c r="V122" s="28">
        <f>IF(H122&gt;0,M122/H122,999)</f>
        <v/>
      </c>
      <c r="W122" s="28">
        <f>MAX(0,U122-MAX(R122+T122,H122*Assumptions!$B$10))</f>
        <v/>
      </c>
      <c r="X122" s="29">
        <f>W122*G122</f>
        <v/>
      </c>
      <c r="Y122" s="28">
        <f>IF(U122&lt;=R122,"REORDER NOW",IF(W122&gt;0,"EXCESS - pause orders / promote","OK"))</f>
        <v/>
      </c>
      <c r="Z122" s="28">
        <f>IF(Y122="REORDER NOW",T122,0)</f>
        <v/>
      </c>
    </row>
    <row r="123">
      <c r="A123" s="5" t="inlineStr">
        <is>
          <t>P0103</t>
        </is>
      </c>
      <c r="B123" s="5" t="inlineStr">
        <is>
          <t>Office Item 103</t>
        </is>
      </c>
      <c r="C123" s="5" t="inlineStr">
        <is>
          <t>Office Supplies</t>
        </is>
      </c>
      <c r="D123" s="5" t="inlineStr">
        <is>
          <t>S08</t>
        </is>
      </c>
      <c r="E123" s="5" t="inlineStr">
        <is>
          <t>C</t>
        </is>
      </c>
      <c r="F123" s="5" t="inlineStr">
        <is>
          <t>Y</t>
        </is>
      </c>
      <c r="G123" s="22" t="n">
        <v>8.51</v>
      </c>
      <c r="H123" s="23" t="n">
        <v>0.031</v>
      </c>
      <c r="I123" s="23" t="n">
        <v>0.227</v>
      </c>
      <c r="J123" s="24" t="n">
        <v>9.132</v>
      </c>
      <c r="K123" s="24" t="n">
        <v>1.033</v>
      </c>
      <c r="L123" s="25" t="n">
        <v>12</v>
      </c>
      <c r="M123" s="25" t="n">
        <v>39</v>
      </c>
      <c r="N123" s="25" t="n">
        <v>0</v>
      </c>
      <c r="O123" s="26">
        <f>INDEX(Assumptions!$B$13:$B$15,MATCH(E123,Assumptions!$A$13:$A$15,0))</f>
        <v/>
      </c>
      <c r="P123" s="27">
        <f>NORMSINV(O123)</f>
        <v/>
      </c>
      <c r="Q123" s="28">
        <f>ROUNDUP(P123*SQRT(J123*I123^2+H123^2*K123^2),0)</f>
        <v/>
      </c>
      <c r="R123" s="28">
        <f>ROUNDUP(H123*J123+Q123,0)</f>
        <v/>
      </c>
      <c r="S123" s="28">
        <f>IF(H123&gt;0,ROUNDUP(SQRT(2*H123*365*Assumptions!$B$5/(Assumptions!$B$6*G123)),0),0)</f>
        <v/>
      </c>
      <c r="T123" s="28">
        <f>MAX(S123,L123)</f>
        <v/>
      </c>
      <c r="U123" s="28">
        <f>M123+N123</f>
        <v/>
      </c>
      <c r="V123" s="28">
        <f>IF(H123&gt;0,M123/H123,999)</f>
        <v/>
      </c>
      <c r="W123" s="28">
        <f>MAX(0,U123-MAX(R123+T123,H123*Assumptions!$B$10))</f>
        <v/>
      </c>
      <c r="X123" s="29">
        <f>W123*G123</f>
        <v/>
      </c>
      <c r="Y123" s="28">
        <f>IF(U123&lt;=R123,"REORDER NOW",IF(W123&gt;0,"EXCESS - pause orders / promote","OK"))</f>
        <v/>
      </c>
      <c r="Z123" s="28">
        <f>IF(Y123="REORDER NOW",T123,0)</f>
        <v/>
      </c>
    </row>
    <row r="124">
      <c r="A124" s="5" t="inlineStr">
        <is>
          <t>P0104</t>
        </is>
      </c>
      <c r="B124" s="5" t="inlineStr">
        <is>
          <t>Office Item 104</t>
        </is>
      </c>
      <c r="C124" s="5" t="inlineStr">
        <is>
          <t>Office Supplies</t>
        </is>
      </c>
      <c r="D124" s="5" t="inlineStr">
        <is>
          <t>S02</t>
        </is>
      </c>
      <c r="E124" s="5" t="inlineStr">
        <is>
          <t>C</t>
        </is>
      </c>
      <c r="F124" s="5" t="inlineStr">
        <is>
          <t>X</t>
        </is>
      </c>
      <c r="G124" s="22" t="n">
        <v>2.16</v>
      </c>
      <c r="H124" s="23" t="n">
        <v>1.212</v>
      </c>
      <c r="I124" s="23" t="n">
        <v>0.908</v>
      </c>
      <c r="J124" s="24" t="n">
        <v>10.431</v>
      </c>
      <c r="K124" s="24" t="n">
        <v>1.544</v>
      </c>
      <c r="L124" s="25" t="n">
        <v>50</v>
      </c>
      <c r="M124" s="25" t="n">
        <v>47</v>
      </c>
      <c r="N124" s="25" t="n">
        <v>0</v>
      </c>
      <c r="O124" s="26">
        <f>INDEX(Assumptions!$B$13:$B$15,MATCH(E124,Assumptions!$A$13:$A$15,0))</f>
        <v/>
      </c>
      <c r="P124" s="27">
        <f>NORMSINV(O124)</f>
        <v/>
      </c>
      <c r="Q124" s="28">
        <f>ROUNDUP(P124*SQRT(J124*I124^2+H124^2*K124^2),0)</f>
        <v/>
      </c>
      <c r="R124" s="28">
        <f>ROUNDUP(H124*J124+Q124,0)</f>
        <v/>
      </c>
      <c r="S124" s="28">
        <f>IF(H124&gt;0,ROUNDUP(SQRT(2*H124*365*Assumptions!$B$5/(Assumptions!$B$6*G124)),0),0)</f>
        <v/>
      </c>
      <c r="T124" s="28">
        <f>MAX(S124,L124)</f>
        <v/>
      </c>
      <c r="U124" s="28">
        <f>M124+N124</f>
        <v/>
      </c>
      <c r="V124" s="28">
        <f>IF(H124&gt;0,M124/H124,999)</f>
        <v/>
      </c>
      <c r="W124" s="28">
        <f>MAX(0,U124-MAX(R124+T124,H124*Assumptions!$B$10))</f>
        <v/>
      </c>
      <c r="X124" s="29">
        <f>W124*G124</f>
        <v/>
      </c>
      <c r="Y124" s="28">
        <f>IF(U124&lt;=R124,"REORDER NOW",IF(W124&gt;0,"EXCESS - pause orders / promote","OK"))</f>
        <v/>
      </c>
      <c r="Z124" s="28">
        <f>IF(Y124="REORDER NOW",T124,0)</f>
        <v/>
      </c>
    </row>
    <row r="125">
      <c r="A125" s="5" t="inlineStr">
        <is>
          <t>P0105</t>
        </is>
      </c>
      <c r="B125" s="5" t="inlineStr">
        <is>
          <t>Office Item 105</t>
        </is>
      </c>
      <c r="C125" s="5" t="inlineStr">
        <is>
          <t>Office Supplies</t>
        </is>
      </c>
      <c r="D125" s="5" t="inlineStr">
        <is>
          <t>S08</t>
        </is>
      </c>
      <c r="E125" s="5" t="inlineStr">
        <is>
          <t>C</t>
        </is>
      </c>
      <c r="F125" s="5" t="inlineStr">
        <is>
          <t>Y</t>
        </is>
      </c>
      <c r="G125" s="22" t="n">
        <v>16.74</v>
      </c>
      <c r="H125" s="23" t="n">
        <v>1.114</v>
      </c>
      <c r="I125" s="23" t="n">
        <v>0.774</v>
      </c>
      <c r="J125" s="24" t="n">
        <v>9.132</v>
      </c>
      <c r="K125" s="24" t="n">
        <v>1.033</v>
      </c>
      <c r="L125" s="25" t="n">
        <v>12</v>
      </c>
      <c r="M125" s="25" t="n">
        <v>48</v>
      </c>
      <c r="N125" s="25" t="n">
        <v>0</v>
      </c>
      <c r="O125" s="26">
        <f>INDEX(Assumptions!$B$13:$B$15,MATCH(E125,Assumptions!$A$13:$A$15,0))</f>
        <v/>
      </c>
      <c r="P125" s="27">
        <f>NORMSINV(O125)</f>
        <v/>
      </c>
      <c r="Q125" s="28">
        <f>ROUNDUP(P125*SQRT(J125*I125^2+H125^2*K125^2),0)</f>
        <v/>
      </c>
      <c r="R125" s="28">
        <f>ROUNDUP(H125*J125+Q125,0)</f>
        <v/>
      </c>
      <c r="S125" s="28">
        <f>IF(H125&gt;0,ROUNDUP(SQRT(2*H125*365*Assumptions!$B$5/(Assumptions!$B$6*G125)),0),0)</f>
        <v/>
      </c>
      <c r="T125" s="28">
        <f>MAX(S125,L125)</f>
        <v/>
      </c>
      <c r="U125" s="28">
        <f>M125+N125</f>
        <v/>
      </c>
      <c r="V125" s="28">
        <f>IF(H125&gt;0,M125/H125,999)</f>
        <v/>
      </c>
      <c r="W125" s="28">
        <f>MAX(0,U125-MAX(R125+T125,H125*Assumptions!$B$10))</f>
        <v/>
      </c>
      <c r="X125" s="29">
        <f>W125*G125</f>
        <v/>
      </c>
      <c r="Y125" s="28">
        <f>IF(U125&lt;=R125,"REORDER NOW",IF(W125&gt;0,"EXCESS - pause orders / promote","OK"))</f>
        <v/>
      </c>
      <c r="Z125" s="28">
        <f>IF(Y125="REORDER NOW",T125,0)</f>
        <v/>
      </c>
    </row>
    <row r="126">
      <c r="A126" s="5" t="inlineStr">
        <is>
          <t>P0106</t>
        </is>
      </c>
      <c r="B126" s="5" t="inlineStr">
        <is>
          <t>Office Item 106</t>
        </is>
      </c>
      <c r="C126" s="5" t="inlineStr">
        <is>
          <t>Office Supplies</t>
        </is>
      </c>
      <c r="D126" s="5" t="inlineStr">
        <is>
          <t>S09</t>
        </is>
      </c>
      <c r="E126" s="5" t="inlineStr">
        <is>
          <t>C</t>
        </is>
      </c>
      <c r="F126" s="5" t="inlineStr">
        <is>
          <t>X</t>
        </is>
      </c>
      <c r="G126" s="22" t="n">
        <v>19.7</v>
      </c>
      <c r="H126" s="23" t="n">
        <v>2.181</v>
      </c>
      <c r="I126" s="23" t="n">
        <v>1.654</v>
      </c>
      <c r="J126" s="24" t="n">
        <v>13.138</v>
      </c>
      <c r="K126" s="24" t="n">
        <v>3.817</v>
      </c>
      <c r="L126" s="25" t="n">
        <v>150</v>
      </c>
      <c r="M126" s="25" t="n">
        <v>122</v>
      </c>
      <c r="N126" s="25" t="n">
        <v>0</v>
      </c>
      <c r="O126" s="26">
        <f>INDEX(Assumptions!$B$13:$B$15,MATCH(E126,Assumptions!$A$13:$A$15,0))</f>
        <v/>
      </c>
      <c r="P126" s="27">
        <f>NORMSINV(O126)</f>
        <v/>
      </c>
      <c r="Q126" s="28">
        <f>ROUNDUP(P126*SQRT(J126*I126^2+H126^2*K126^2),0)</f>
        <v/>
      </c>
      <c r="R126" s="28">
        <f>ROUNDUP(H126*J126+Q126,0)</f>
        <v/>
      </c>
      <c r="S126" s="28">
        <f>IF(H126&gt;0,ROUNDUP(SQRT(2*H126*365*Assumptions!$B$5/(Assumptions!$B$6*G126)),0),0)</f>
        <v/>
      </c>
      <c r="T126" s="28">
        <f>MAX(S126,L126)</f>
        <v/>
      </c>
      <c r="U126" s="28">
        <f>M126+N126</f>
        <v/>
      </c>
      <c r="V126" s="28">
        <f>IF(H126&gt;0,M126/H126,999)</f>
        <v/>
      </c>
      <c r="W126" s="28">
        <f>MAX(0,U126-MAX(R126+T126,H126*Assumptions!$B$10))</f>
        <v/>
      </c>
      <c r="X126" s="29">
        <f>W126*G126</f>
        <v/>
      </c>
      <c r="Y126" s="28">
        <f>IF(U126&lt;=R126,"REORDER NOW",IF(W126&gt;0,"EXCESS - pause orders / promote","OK"))</f>
        <v/>
      </c>
      <c r="Z126" s="28">
        <f>IF(Y126="REORDER NOW",T126,0)</f>
        <v/>
      </c>
    </row>
    <row r="127">
      <c r="A127" s="5" t="inlineStr">
        <is>
          <t>P0107</t>
        </is>
      </c>
      <c r="B127" s="5" t="inlineStr">
        <is>
          <t>Office Item 107</t>
        </is>
      </c>
      <c r="C127" s="5" t="inlineStr">
        <is>
          <t>Office Supplies</t>
        </is>
      </c>
      <c r="D127" s="5" t="inlineStr">
        <is>
          <t>S01</t>
        </is>
      </c>
      <c r="E127" s="5" t="inlineStr">
        <is>
          <t>C</t>
        </is>
      </c>
      <c r="F127" s="5" t="inlineStr">
        <is>
          <t>Y</t>
        </is>
      </c>
      <c r="G127" s="22" t="n">
        <v>5.41</v>
      </c>
      <c r="H127" s="23" t="n">
        <v>0.677</v>
      </c>
      <c r="I127" s="23" t="n">
        <v>0.661</v>
      </c>
      <c r="J127" s="24" t="n">
        <v>7.124</v>
      </c>
      <c r="K127" s="24" t="n">
        <v>1.029</v>
      </c>
      <c r="L127" s="25" t="n">
        <v>24</v>
      </c>
      <c r="M127" s="25" t="n">
        <v>24</v>
      </c>
      <c r="N127" s="25" t="n">
        <v>0</v>
      </c>
      <c r="O127" s="26">
        <f>INDEX(Assumptions!$B$13:$B$15,MATCH(E127,Assumptions!$A$13:$A$15,0))</f>
        <v/>
      </c>
      <c r="P127" s="27">
        <f>NORMSINV(O127)</f>
        <v/>
      </c>
      <c r="Q127" s="28">
        <f>ROUNDUP(P127*SQRT(J127*I127^2+H127^2*K127^2),0)</f>
        <v/>
      </c>
      <c r="R127" s="28">
        <f>ROUNDUP(H127*J127+Q127,0)</f>
        <v/>
      </c>
      <c r="S127" s="28">
        <f>IF(H127&gt;0,ROUNDUP(SQRT(2*H127*365*Assumptions!$B$5/(Assumptions!$B$6*G127)),0),0)</f>
        <v/>
      </c>
      <c r="T127" s="28">
        <f>MAX(S127,L127)</f>
        <v/>
      </c>
      <c r="U127" s="28">
        <f>M127+N127</f>
        <v/>
      </c>
      <c r="V127" s="28">
        <f>IF(H127&gt;0,M127/H127,999)</f>
        <v/>
      </c>
      <c r="W127" s="28">
        <f>MAX(0,U127-MAX(R127+T127,H127*Assumptions!$B$10))</f>
        <v/>
      </c>
      <c r="X127" s="29">
        <f>W127*G127</f>
        <v/>
      </c>
      <c r="Y127" s="28">
        <f>IF(U127&lt;=R127,"REORDER NOW",IF(W127&gt;0,"EXCESS - pause orders / promote","OK"))</f>
        <v/>
      </c>
      <c r="Z127" s="28">
        <f>IF(Y127="REORDER NOW",T127,0)</f>
        <v/>
      </c>
    </row>
    <row r="128">
      <c r="A128" s="5" t="inlineStr">
        <is>
          <t>P0108</t>
        </is>
      </c>
      <c r="B128" s="5" t="inlineStr">
        <is>
          <t>Office Item 108</t>
        </is>
      </c>
      <c r="C128" s="5" t="inlineStr">
        <is>
          <t>Office Supplies</t>
        </is>
      </c>
      <c r="D128" s="5" t="inlineStr">
        <is>
          <t>S10</t>
        </is>
      </c>
      <c r="E128" s="5" t="inlineStr">
        <is>
          <t>C</t>
        </is>
      </c>
      <c r="F128" s="5" t="inlineStr">
        <is>
          <t>Y</t>
        </is>
      </c>
      <c r="G128" s="22" t="n">
        <v>7.07</v>
      </c>
      <c r="H128" s="23" t="n">
        <v>0.163</v>
      </c>
      <c r="I128" s="23" t="n">
        <v>0.353</v>
      </c>
      <c r="J128" s="24" t="n">
        <v>21.86</v>
      </c>
      <c r="K128" s="24" t="n">
        <v>2.931</v>
      </c>
      <c r="L128" s="25" t="n">
        <v>120</v>
      </c>
      <c r="M128" s="25" t="n">
        <v>102</v>
      </c>
      <c r="N128" s="25" t="n">
        <v>0</v>
      </c>
      <c r="O128" s="26">
        <f>INDEX(Assumptions!$B$13:$B$15,MATCH(E128,Assumptions!$A$13:$A$15,0))</f>
        <v/>
      </c>
      <c r="P128" s="27">
        <f>NORMSINV(O128)</f>
        <v/>
      </c>
      <c r="Q128" s="28">
        <f>ROUNDUP(P128*SQRT(J128*I128^2+H128^2*K128^2),0)</f>
        <v/>
      </c>
      <c r="R128" s="28">
        <f>ROUNDUP(H128*J128+Q128,0)</f>
        <v/>
      </c>
      <c r="S128" s="28">
        <f>IF(H128&gt;0,ROUNDUP(SQRT(2*H128*365*Assumptions!$B$5/(Assumptions!$B$6*G128)),0),0)</f>
        <v/>
      </c>
      <c r="T128" s="28">
        <f>MAX(S128,L128)</f>
        <v/>
      </c>
      <c r="U128" s="28">
        <f>M128+N128</f>
        <v/>
      </c>
      <c r="V128" s="28">
        <f>IF(H128&gt;0,M128/H128,999)</f>
        <v/>
      </c>
      <c r="W128" s="28">
        <f>MAX(0,U128-MAX(R128+T128,H128*Assumptions!$B$10))</f>
        <v/>
      </c>
      <c r="X128" s="29">
        <f>W128*G128</f>
        <v/>
      </c>
      <c r="Y128" s="28">
        <f>IF(U128&lt;=R128,"REORDER NOW",IF(W128&gt;0,"EXCESS - pause orders / promote","OK"))</f>
        <v/>
      </c>
      <c r="Z128" s="28">
        <f>IF(Y128="REORDER NOW",T128,0)</f>
        <v/>
      </c>
    </row>
    <row r="129">
      <c r="A129" s="5" t="inlineStr">
        <is>
          <t>P0110</t>
        </is>
      </c>
      <c r="B129" s="5" t="inlineStr">
        <is>
          <t>Office Item 110</t>
        </is>
      </c>
      <c r="C129" s="5" t="inlineStr">
        <is>
          <t>Office Supplies</t>
        </is>
      </c>
      <c r="D129" s="5" t="inlineStr">
        <is>
          <t>S05</t>
        </is>
      </c>
      <c r="E129" s="5" t="inlineStr">
        <is>
          <t>C</t>
        </is>
      </c>
      <c r="F129" s="5" t="inlineStr">
        <is>
          <t>Y</t>
        </is>
      </c>
      <c r="G129" s="22" t="n">
        <v>4.2</v>
      </c>
      <c r="H129" s="23" t="n">
        <v>0.37</v>
      </c>
      <c r="I129" s="23" t="n">
        <v>0.624</v>
      </c>
      <c r="J129" s="24" t="n">
        <v>8.19</v>
      </c>
      <c r="K129" s="24" t="n">
        <v>1.086</v>
      </c>
      <c r="L129" s="25" t="n">
        <v>24</v>
      </c>
      <c r="M129" s="25" t="n">
        <v>144</v>
      </c>
      <c r="N129" s="25" t="n">
        <v>0</v>
      </c>
      <c r="O129" s="26">
        <f>INDEX(Assumptions!$B$13:$B$15,MATCH(E129,Assumptions!$A$13:$A$15,0))</f>
        <v/>
      </c>
      <c r="P129" s="27">
        <f>NORMSINV(O129)</f>
        <v/>
      </c>
      <c r="Q129" s="28">
        <f>ROUNDUP(P129*SQRT(J129*I129^2+H129^2*K129^2),0)</f>
        <v/>
      </c>
      <c r="R129" s="28">
        <f>ROUNDUP(H129*J129+Q129,0)</f>
        <v/>
      </c>
      <c r="S129" s="28">
        <f>IF(H129&gt;0,ROUNDUP(SQRT(2*H129*365*Assumptions!$B$5/(Assumptions!$B$6*G129)),0),0)</f>
        <v/>
      </c>
      <c r="T129" s="28">
        <f>MAX(S129,L129)</f>
        <v/>
      </c>
      <c r="U129" s="28">
        <f>M129+N129</f>
        <v/>
      </c>
      <c r="V129" s="28">
        <f>IF(H129&gt;0,M129/H129,999)</f>
        <v/>
      </c>
      <c r="W129" s="28">
        <f>MAX(0,U129-MAX(R129+T129,H129*Assumptions!$B$10))</f>
        <v/>
      </c>
      <c r="X129" s="29">
        <f>W129*G129</f>
        <v/>
      </c>
      <c r="Y129" s="28">
        <f>IF(U129&lt;=R129,"REORDER NOW",IF(W129&gt;0,"EXCESS - pause orders / promote","OK"))</f>
        <v/>
      </c>
      <c r="Z129" s="28">
        <f>IF(Y129="REORDER NOW",T129,0)</f>
        <v/>
      </c>
    </row>
    <row r="130">
      <c r="A130" s="5" t="inlineStr">
        <is>
          <t>P0113</t>
        </is>
      </c>
      <c r="B130" s="5" t="inlineStr">
        <is>
          <t>Health Item 113</t>
        </is>
      </c>
      <c r="C130" s="5" t="inlineStr">
        <is>
          <t>Health &amp; Safety</t>
        </is>
      </c>
      <c r="D130" s="5" t="inlineStr">
        <is>
          <t>S05</t>
        </is>
      </c>
      <c r="E130" s="5" t="inlineStr">
        <is>
          <t>C</t>
        </is>
      </c>
      <c r="F130" s="5" t="inlineStr">
        <is>
          <t>X</t>
        </is>
      </c>
      <c r="G130" s="22" t="n">
        <v>5.06</v>
      </c>
      <c r="H130" s="23" t="n">
        <v>6.227</v>
      </c>
      <c r="I130" s="23" t="n">
        <v>2.456</v>
      </c>
      <c r="J130" s="24" t="n">
        <v>8.19</v>
      </c>
      <c r="K130" s="24" t="n">
        <v>1.086</v>
      </c>
      <c r="L130" s="25" t="n">
        <v>24</v>
      </c>
      <c r="M130" s="25" t="n">
        <v>49</v>
      </c>
      <c r="N130" s="25" t="n">
        <v>272</v>
      </c>
      <c r="O130" s="26">
        <f>INDEX(Assumptions!$B$13:$B$15,MATCH(E130,Assumptions!$A$13:$A$15,0))</f>
        <v/>
      </c>
      <c r="P130" s="27">
        <f>NORMSINV(O130)</f>
        <v/>
      </c>
      <c r="Q130" s="28">
        <f>ROUNDUP(P130*SQRT(J130*I130^2+H130^2*K130^2),0)</f>
        <v/>
      </c>
      <c r="R130" s="28">
        <f>ROUNDUP(H130*J130+Q130,0)</f>
        <v/>
      </c>
      <c r="S130" s="28">
        <f>IF(H130&gt;0,ROUNDUP(SQRT(2*H130*365*Assumptions!$B$5/(Assumptions!$B$6*G130)),0),0)</f>
        <v/>
      </c>
      <c r="T130" s="28">
        <f>MAX(S130,L130)</f>
        <v/>
      </c>
      <c r="U130" s="28">
        <f>M130+N130</f>
        <v/>
      </c>
      <c r="V130" s="28">
        <f>IF(H130&gt;0,M130/H130,999)</f>
        <v/>
      </c>
      <c r="W130" s="28">
        <f>MAX(0,U130-MAX(R130+T130,H130*Assumptions!$B$10))</f>
        <v/>
      </c>
      <c r="X130" s="29">
        <f>W130*G130</f>
        <v/>
      </c>
      <c r="Y130" s="28">
        <f>IF(U130&lt;=R130,"REORDER NOW",IF(W130&gt;0,"EXCESS - pause orders / promote","OK"))</f>
        <v/>
      </c>
      <c r="Z130" s="28">
        <f>IF(Y130="REORDER NOW",T130,0)</f>
        <v/>
      </c>
    </row>
    <row r="131">
      <c r="A131" s="5" t="inlineStr">
        <is>
          <t>P0114</t>
        </is>
      </c>
      <c r="B131" s="5" t="inlineStr">
        <is>
          <t>Health Item 114</t>
        </is>
      </c>
      <c r="C131" s="5" t="inlineStr">
        <is>
          <t>Health &amp; Safety</t>
        </is>
      </c>
      <c r="D131" s="5" t="inlineStr">
        <is>
          <t>S03</t>
        </is>
      </c>
      <c r="E131" s="5" t="inlineStr">
        <is>
          <t>C</t>
        </is>
      </c>
      <c r="F131" s="5" t="inlineStr">
        <is>
          <t>Y</t>
        </is>
      </c>
      <c r="G131" s="22" t="n">
        <v>14.98</v>
      </c>
      <c r="H131" s="23" t="n">
        <v>1.85</v>
      </c>
      <c r="I131" s="23" t="n">
        <v>1.146</v>
      </c>
      <c r="J131" s="24" t="n">
        <v>5.124</v>
      </c>
      <c r="K131" s="24" t="n">
        <v>0.839</v>
      </c>
      <c r="L131" s="25" t="n">
        <v>12</v>
      </c>
      <c r="M131" s="25" t="n">
        <v>10</v>
      </c>
      <c r="N131" s="25" t="n">
        <v>0</v>
      </c>
      <c r="O131" s="26">
        <f>INDEX(Assumptions!$B$13:$B$15,MATCH(E131,Assumptions!$A$13:$A$15,0))</f>
        <v/>
      </c>
      <c r="P131" s="27">
        <f>NORMSINV(O131)</f>
        <v/>
      </c>
      <c r="Q131" s="28">
        <f>ROUNDUP(P131*SQRT(J131*I131^2+H131^2*K131^2),0)</f>
        <v/>
      </c>
      <c r="R131" s="28">
        <f>ROUNDUP(H131*J131+Q131,0)</f>
        <v/>
      </c>
      <c r="S131" s="28">
        <f>IF(H131&gt;0,ROUNDUP(SQRT(2*H131*365*Assumptions!$B$5/(Assumptions!$B$6*G131)),0),0)</f>
        <v/>
      </c>
      <c r="T131" s="28">
        <f>MAX(S131,L131)</f>
        <v/>
      </c>
      <c r="U131" s="28">
        <f>M131+N131</f>
        <v/>
      </c>
      <c r="V131" s="28">
        <f>IF(H131&gt;0,M131/H131,999)</f>
        <v/>
      </c>
      <c r="W131" s="28">
        <f>MAX(0,U131-MAX(R131+T131,H131*Assumptions!$B$10))</f>
        <v/>
      </c>
      <c r="X131" s="29">
        <f>W131*G131</f>
        <v/>
      </c>
      <c r="Y131" s="28">
        <f>IF(U131&lt;=R131,"REORDER NOW",IF(W131&gt;0,"EXCESS - pause orders / promote","OK"))</f>
        <v/>
      </c>
      <c r="Z131" s="28">
        <f>IF(Y131="REORDER NOW",T131,0)</f>
        <v/>
      </c>
    </row>
    <row r="132">
      <c r="A132" s="5" t="inlineStr">
        <is>
          <t>P0117</t>
        </is>
      </c>
      <c r="B132" s="5" t="inlineStr">
        <is>
          <t>Health Item 117</t>
        </is>
      </c>
      <c r="C132" s="5" t="inlineStr">
        <is>
          <t>Health &amp; Safety</t>
        </is>
      </c>
      <c r="D132" s="5" t="inlineStr">
        <is>
          <t>S02</t>
        </is>
      </c>
      <c r="E132" s="5" t="inlineStr">
        <is>
          <t>C</t>
        </is>
      </c>
      <c r="F132" s="5" t="inlineStr">
        <is>
          <t>X</t>
        </is>
      </c>
      <c r="G132" s="22" t="n">
        <v>4.66</v>
      </c>
      <c r="H132" s="23" t="n">
        <v>5.868</v>
      </c>
      <c r="I132" s="23" t="n">
        <v>1.7</v>
      </c>
      <c r="J132" s="24" t="n">
        <v>10.431</v>
      </c>
      <c r="K132" s="24" t="n">
        <v>1.544</v>
      </c>
      <c r="L132" s="25" t="n">
        <v>50</v>
      </c>
      <c r="M132" s="25" t="n">
        <v>258</v>
      </c>
      <c r="N132" s="25" t="n">
        <v>0</v>
      </c>
      <c r="O132" s="26">
        <f>INDEX(Assumptions!$B$13:$B$15,MATCH(E132,Assumptions!$A$13:$A$15,0))</f>
        <v/>
      </c>
      <c r="P132" s="27">
        <f>NORMSINV(O132)</f>
        <v/>
      </c>
      <c r="Q132" s="28">
        <f>ROUNDUP(P132*SQRT(J132*I132^2+H132^2*K132^2),0)</f>
        <v/>
      </c>
      <c r="R132" s="28">
        <f>ROUNDUP(H132*J132+Q132,0)</f>
        <v/>
      </c>
      <c r="S132" s="28">
        <f>IF(H132&gt;0,ROUNDUP(SQRT(2*H132*365*Assumptions!$B$5/(Assumptions!$B$6*G132)),0),0)</f>
        <v/>
      </c>
      <c r="T132" s="28">
        <f>MAX(S132,L132)</f>
        <v/>
      </c>
      <c r="U132" s="28">
        <f>M132+N132</f>
        <v/>
      </c>
      <c r="V132" s="28">
        <f>IF(H132&gt;0,M132/H132,999)</f>
        <v/>
      </c>
      <c r="W132" s="28">
        <f>MAX(0,U132-MAX(R132+T132,H132*Assumptions!$B$10))</f>
        <v/>
      </c>
      <c r="X132" s="29">
        <f>W132*G132</f>
        <v/>
      </c>
      <c r="Y132" s="28">
        <f>IF(U132&lt;=R132,"REORDER NOW",IF(W132&gt;0,"EXCESS - pause orders / promote","OK"))</f>
        <v/>
      </c>
      <c r="Z132" s="28">
        <f>IF(Y132="REORDER NOW",T132,0)</f>
        <v/>
      </c>
    </row>
    <row r="133">
      <c r="A133" s="5" t="inlineStr">
        <is>
          <t>P0118</t>
        </is>
      </c>
      <c r="B133" s="5" t="inlineStr">
        <is>
          <t>Health Item 118</t>
        </is>
      </c>
      <c r="C133" s="5" t="inlineStr">
        <is>
          <t>Health &amp; Safety</t>
        </is>
      </c>
      <c r="D133" s="5" t="inlineStr">
        <is>
          <t>S07</t>
        </is>
      </c>
      <c r="E133" s="5" t="inlineStr">
        <is>
          <t>C</t>
        </is>
      </c>
      <c r="F133" s="5" t="inlineStr">
        <is>
          <t>Y</t>
        </is>
      </c>
      <c r="G133" s="22" t="n">
        <v>4.79</v>
      </c>
      <c r="H133" s="23" t="n">
        <v>1.128</v>
      </c>
      <c r="I133" s="23" t="n">
        <v>1.142</v>
      </c>
      <c r="J133" s="24" t="n">
        <v>14.688</v>
      </c>
      <c r="K133" s="24" t="n">
        <v>2.076</v>
      </c>
      <c r="L133" s="25" t="n">
        <v>100</v>
      </c>
      <c r="M133" s="25" t="n">
        <v>3</v>
      </c>
      <c r="N133" s="25" t="n">
        <v>100</v>
      </c>
      <c r="O133" s="26">
        <f>INDEX(Assumptions!$B$13:$B$15,MATCH(E133,Assumptions!$A$13:$A$15,0))</f>
        <v/>
      </c>
      <c r="P133" s="27">
        <f>NORMSINV(O133)</f>
        <v/>
      </c>
      <c r="Q133" s="28">
        <f>ROUNDUP(P133*SQRT(J133*I133^2+H133^2*K133^2),0)</f>
        <v/>
      </c>
      <c r="R133" s="28">
        <f>ROUNDUP(H133*J133+Q133,0)</f>
        <v/>
      </c>
      <c r="S133" s="28">
        <f>IF(H133&gt;0,ROUNDUP(SQRT(2*H133*365*Assumptions!$B$5/(Assumptions!$B$6*G133)),0),0)</f>
        <v/>
      </c>
      <c r="T133" s="28">
        <f>MAX(S133,L133)</f>
        <v/>
      </c>
      <c r="U133" s="28">
        <f>M133+N133</f>
        <v/>
      </c>
      <c r="V133" s="28">
        <f>IF(H133&gt;0,M133/H133,999)</f>
        <v/>
      </c>
      <c r="W133" s="28">
        <f>MAX(0,U133-MAX(R133+T133,H133*Assumptions!$B$10))</f>
        <v/>
      </c>
      <c r="X133" s="29">
        <f>W133*G133</f>
        <v/>
      </c>
      <c r="Y133" s="28">
        <f>IF(U133&lt;=R133,"REORDER NOW",IF(W133&gt;0,"EXCESS - pause orders / promote","OK"))</f>
        <v/>
      </c>
      <c r="Z133" s="28">
        <f>IF(Y133="REORDER NOW",T133,0)</f>
        <v/>
      </c>
    </row>
    <row r="134">
      <c r="A134" s="5" t="inlineStr">
        <is>
          <t>P0120</t>
        </is>
      </c>
      <c r="B134" s="5" t="inlineStr">
        <is>
          <t>Health Item 120</t>
        </is>
      </c>
      <c r="C134" s="5" t="inlineStr">
        <is>
          <t>Health &amp; Safety</t>
        </is>
      </c>
      <c r="D134" s="5" t="inlineStr">
        <is>
          <t>S02</t>
        </is>
      </c>
      <c r="E134" s="5" t="inlineStr">
        <is>
          <t>C</t>
        </is>
      </c>
      <c r="F134" s="5" t="inlineStr">
        <is>
          <t>Y</t>
        </is>
      </c>
      <c r="G134" s="22" t="n">
        <v>40.1</v>
      </c>
      <c r="H134" s="23" t="n">
        <v>0.6830000000000001</v>
      </c>
      <c r="I134" s="23" t="n">
        <v>0.726</v>
      </c>
      <c r="J134" s="24" t="n">
        <v>10.431</v>
      </c>
      <c r="K134" s="24" t="n">
        <v>1.544</v>
      </c>
      <c r="L134" s="25" t="n">
        <v>50</v>
      </c>
      <c r="M134" s="25" t="n">
        <v>33</v>
      </c>
      <c r="N134" s="25" t="n">
        <v>0</v>
      </c>
      <c r="O134" s="26">
        <f>INDEX(Assumptions!$B$13:$B$15,MATCH(E134,Assumptions!$A$13:$A$15,0))</f>
        <v/>
      </c>
      <c r="P134" s="27">
        <f>NORMSINV(O134)</f>
        <v/>
      </c>
      <c r="Q134" s="28">
        <f>ROUNDUP(P134*SQRT(J134*I134^2+H134^2*K134^2),0)</f>
        <v/>
      </c>
      <c r="R134" s="28">
        <f>ROUNDUP(H134*J134+Q134,0)</f>
        <v/>
      </c>
      <c r="S134" s="28">
        <f>IF(H134&gt;0,ROUNDUP(SQRT(2*H134*365*Assumptions!$B$5/(Assumptions!$B$6*G134)),0),0)</f>
        <v/>
      </c>
      <c r="T134" s="28">
        <f>MAX(S134,L134)</f>
        <v/>
      </c>
      <c r="U134" s="28">
        <f>M134+N134</f>
        <v/>
      </c>
      <c r="V134" s="28">
        <f>IF(H134&gt;0,M134/H134,999)</f>
        <v/>
      </c>
      <c r="W134" s="28">
        <f>MAX(0,U134-MAX(R134+T134,H134*Assumptions!$B$10))</f>
        <v/>
      </c>
      <c r="X134" s="29">
        <f>W134*G134</f>
        <v/>
      </c>
      <c r="Y134" s="28">
        <f>IF(U134&lt;=R134,"REORDER NOW",IF(W134&gt;0,"EXCESS - pause orders / promote","OK"))</f>
        <v/>
      </c>
      <c r="Z134" s="28">
        <f>IF(Y134="REORDER NOW",T134,0)</f>
        <v/>
      </c>
    </row>
    <row r="135">
      <c r="A135" s="5" t="inlineStr">
        <is>
          <t>P0121</t>
        </is>
      </c>
      <c r="B135" s="5" t="inlineStr">
        <is>
          <t>Health Item 121</t>
        </is>
      </c>
      <c r="C135" s="5" t="inlineStr">
        <is>
          <t>Health &amp; Safety</t>
        </is>
      </c>
      <c r="D135" s="5" t="inlineStr">
        <is>
          <t>S10</t>
        </is>
      </c>
      <c r="E135" s="5" t="inlineStr">
        <is>
          <t>C</t>
        </is>
      </c>
      <c r="F135" s="5" t="inlineStr">
        <is>
          <t>X</t>
        </is>
      </c>
      <c r="G135" s="22" t="n">
        <v>5.96</v>
      </c>
      <c r="H135" s="23" t="n">
        <v>3.647</v>
      </c>
      <c r="I135" s="23" t="n">
        <v>2.141</v>
      </c>
      <c r="J135" s="24" t="n">
        <v>21.86</v>
      </c>
      <c r="K135" s="24" t="n">
        <v>2.931</v>
      </c>
      <c r="L135" s="25" t="n">
        <v>120</v>
      </c>
      <c r="M135" s="25" t="n">
        <v>55</v>
      </c>
      <c r="N135" s="25" t="n">
        <v>122</v>
      </c>
      <c r="O135" s="26">
        <f>INDEX(Assumptions!$B$13:$B$15,MATCH(E135,Assumptions!$A$13:$A$15,0))</f>
        <v/>
      </c>
      <c r="P135" s="27">
        <f>NORMSINV(O135)</f>
        <v/>
      </c>
      <c r="Q135" s="28">
        <f>ROUNDUP(P135*SQRT(J135*I135^2+H135^2*K135^2),0)</f>
        <v/>
      </c>
      <c r="R135" s="28">
        <f>ROUNDUP(H135*J135+Q135,0)</f>
        <v/>
      </c>
      <c r="S135" s="28">
        <f>IF(H135&gt;0,ROUNDUP(SQRT(2*H135*365*Assumptions!$B$5/(Assumptions!$B$6*G135)),0),0)</f>
        <v/>
      </c>
      <c r="T135" s="28">
        <f>MAX(S135,L135)</f>
        <v/>
      </c>
      <c r="U135" s="28">
        <f>M135+N135</f>
        <v/>
      </c>
      <c r="V135" s="28">
        <f>IF(H135&gt;0,M135/H135,999)</f>
        <v/>
      </c>
      <c r="W135" s="28">
        <f>MAX(0,U135-MAX(R135+T135,H135*Assumptions!$B$10))</f>
        <v/>
      </c>
      <c r="X135" s="29">
        <f>W135*G135</f>
        <v/>
      </c>
      <c r="Y135" s="28">
        <f>IF(U135&lt;=R135,"REORDER NOW",IF(W135&gt;0,"EXCESS - pause orders / promote","OK"))</f>
        <v/>
      </c>
      <c r="Z135" s="28">
        <f>IF(Y135="REORDER NOW",T135,0)</f>
        <v/>
      </c>
    </row>
    <row r="136">
      <c r="A136" s="5" t="inlineStr">
        <is>
          <t>P0122</t>
        </is>
      </c>
      <c r="B136" s="5" t="inlineStr">
        <is>
          <t>Health Item 122</t>
        </is>
      </c>
      <c r="C136" s="5" t="inlineStr">
        <is>
          <t>Health &amp; Safety</t>
        </is>
      </c>
      <c r="D136" s="5" t="inlineStr">
        <is>
          <t>S09</t>
        </is>
      </c>
      <c r="E136" s="5" t="inlineStr">
        <is>
          <t>C</t>
        </is>
      </c>
      <c r="F136" s="5" t="inlineStr">
        <is>
          <t>Y</t>
        </is>
      </c>
      <c r="G136" s="22" t="n">
        <v>7.06</v>
      </c>
      <c r="H136" s="23" t="n">
        <v>1.162</v>
      </c>
      <c r="I136" s="23" t="n">
        <v>0.909</v>
      </c>
      <c r="J136" s="24" t="n">
        <v>13.138</v>
      </c>
      <c r="K136" s="24" t="n">
        <v>3.817</v>
      </c>
      <c r="L136" s="25" t="n">
        <v>150</v>
      </c>
      <c r="M136" s="25" t="n">
        <v>96</v>
      </c>
      <c r="N136" s="25" t="n">
        <v>0</v>
      </c>
      <c r="O136" s="26">
        <f>INDEX(Assumptions!$B$13:$B$15,MATCH(E136,Assumptions!$A$13:$A$15,0))</f>
        <v/>
      </c>
      <c r="P136" s="27">
        <f>NORMSINV(O136)</f>
        <v/>
      </c>
      <c r="Q136" s="28">
        <f>ROUNDUP(P136*SQRT(J136*I136^2+H136^2*K136^2),0)</f>
        <v/>
      </c>
      <c r="R136" s="28">
        <f>ROUNDUP(H136*J136+Q136,0)</f>
        <v/>
      </c>
      <c r="S136" s="28">
        <f>IF(H136&gt;0,ROUNDUP(SQRT(2*H136*365*Assumptions!$B$5/(Assumptions!$B$6*G136)),0),0)</f>
        <v/>
      </c>
      <c r="T136" s="28">
        <f>MAX(S136,L136)</f>
        <v/>
      </c>
      <c r="U136" s="28">
        <f>M136+N136</f>
        <v/>
      </c>
      <c r="V136" s="28">
        <f>IF(H136&gt;0,M136/H136,999)</f>
        <v/>
      </c>
      <c r="W136" s="28">
        <f>MAX(0,U136-MAX(R136+T136,H136*Assumptions!$B$10))</f>
        <v/>
      </c>
      <c r="X136" s="29">
        <f>W136*G136</f>
        <v/>
      </c>
      <c r="Y136" s="28">
        <f>IF(U136&lt;=R136,"REORDER NOW",IF(W136&gt;0,"EXCESS - pause orders / promote","OK"))</f>
        <v/>
      </c>
      <c r="Z136" s="28">
        <f>IF(Y136="REORDER NOW",T136,0)</f>
        <v/>
      </c>
    </row>
    <row r="137">
      <c r="A137" s="5" t="inlineStr">
        <is>
          <t>P0127</t>
        </is>
      </c>
      <c r="B137" s="5" t="inlineStr">
        <is>
          <t>Health Item 127</t>
        </is>
      </c>
      <c r="C137" s="5" t="inlineStr">
        <is>
          <t>Health &amp; Safety</t>
        </is>
      </c>
      <c r="D137" s="5" t="inlineStr">
        <is>
          <t>S06</t>
        </is>
      </c>
      <c r="E137" s="5" t="inlineStr">
        <is>
          <t>C</t>
        </is>
      </c>
      <c r="F137" s="5" t="inlineStr">
        <is>
          <t>Y</t>
        </is>
      </c>
      <c r="G137" s="22" t="n">
        <v>8.529999999999999</v>
      </c>
      <c r="H137" s="23" t="n">
        <v>0.792</v>
      </c>
      <c r="I137" s="23" t="n">
        <v>1.008</v>
      </c>
      <c r="J137" s="24" t="n">
        <v>13.277</v>
      </c>
      <c r="K137" s="24" t="n">
        <v>2.821</v>
      </c>
      <c r="L137" s="25" t="n">
        <v>48</v>
      </c>
      <c r="M137" s="25" t="n">
        <v>78</v>
      </c>
      <c r="N137" s="25" t="n">
        <v>0</v>
      </c>
      <c r="O137" s="26">
        <f>INDEX(Assumptions!$B$13:$B$15,MATCH(E137,Assumptions!$A$13:$A$15,0))</f>
        <v/>
      </c>
      <c r="P137" s="27">
        <f>NORMSINV(O137)</f>
        <v/>
      </c>
      <c r="Q137" s="28">
        <f>ROUNDUP(P137*SQRT(J137*I137^2+H137^2*K137^2),0)</f>
        <v/>
      </c>
      <c r="R137" s="28">
        <f>ROUNDUP(H137*J137+Q137,0)</f>
        <v/>
      </c>
      <c r="S137" s="28">
        <f>IF(H137&gt;0,ROUNDUP(SQRT(2*H137*365*Assumptions!$B$5/(Assumptions!$B$6*G137)),0),0)</f>
        <v/>
      </c>
      <c r="T137" s="28">
        <f>MAX(S137,L137)</f>
        <v/>
      </c>
      <c r="U137" s="28">
        <f>M137+N137</f>
        <v/>
      </c>
      <c r="V137" s="28">
        <f>IF(H137&gt;0,M137/H137,999)</f>
        <v/>
      </c>
      <c r="W137" s="28">
        <f>MAX(0,U137-MAX(R137+T137,H137*Assumptions!$B$10))</f>
        <v/>
      </c>
      <c r="X137" s="29">
        <f>W137*G137</f>
        <v/>
      </c>
      <c r="Y137" s="28">
        <f>IF(U137&lt;=R137,"REORDER NOW",IF(W137&gt;0,"EXCESS - pause orders / promote","OK"))</f>
        <v/>
      </c>
      <c r="Z137" s="28">
        <f>IF(Y137="REORDER NOW",T137,0)</f>
        <v/>
      </c>
    </row>
    <row r="138">
      <c r="A138" s="5" t="inlineStr">
        <is>
          <t>P0129</t>
        </is>
      </c>
      <c r="B138" s="5" t="inlineStr">
        <is>
          <t>Health Item 129</t>
        </is>
      </c>
      <c r="C138" s="5" t="inlineStr">
        <is>
          <t>Health &amp; Safety</t>
        </is>
      </c>
      <c r="D138" s="5" t="inlineStr">
        <is>
          <t>S05</t>
        </is>
      </c>
      <c r="E138" s="5" t="inlineStr">
        <is>
          <t>C</t>
        </is>
      </c>
      <c r="F138" s="5" t="inlineStr">
        <is>
          <t>X</t>
        </is>
      </c>
      <c r="G138" s="22" t="n">
        <v>4.29</v>
      </c>
      <c r="H138" s="23" t="n">
        <v>2.454</v>
      </c>
      <c r="I138" s="23" t="n">
        <v>1.629</v>
      </c>
      <c r="J138" s="24" t="n">
        <v>8.19</v>
      </c>
      <c r="K138" s="24" t="n">
        <v>1.086</v>
      </c>
      <c r="L138" s="25" t="n">
        <v>24</v>
      </c>
      <c r="M138" s="25" t="n">
        <v>120</v>
      </c>
      <c r="N138" s="25" t="n">
        <v>0</v>
      </c>
      <c r="O138" s="26">
        <f>INDEX(Assumptions!$B$13:$B$15,MATCH(E138,Assumptions!$A$13:$A$15,0))</f>
        <v/>
      </c>
      <c r="P138" s="27">
        <f>NORMSINV(O138)</f>
        <v/>
      </c>
      <c r="Q138" s="28">
        <f>ROUNDUP(P138*SQRT(J138*I138^2+H138^2*K138^2),0)</f>
        <v/>
      </c>
      <c r="R138" s="28">
        <f>ROUNDUP(H138*J138+Q138,0)</f>
        <v/>
      </c>
      <c r="S138" s="28">
        <f>IF(H138&gt;0,ROUNDUP(SQRT(2*H138*365*Assumptions!$B$5/(Assumptions!$B$6*G138)),0),0)</f>
        <v/>
      </c>
      <c r="T138" s="28">
        <f>MAX(S138,L138)</f>
        <v/>
      </c>
      <c r="U138" s="28">
        <f>M138+N138</f>
        <v/>
      </c>
      <c r="V138" s="28">
        <f>IF(H138&gt;0,M138/H138,999)</f>
        <v/>
      </c>
      <c r="W138" s="28">
        <f>MAX(0,U138-MAX(R138+T138,H138*Assumptions!$B$10))</f>
        <v/>
      </c>
      <c r="X138" s="29">
        <f>W138*G138</f>
        <v/>
      </c>
      <c r="Y138" s="28">
        <f>IF(U138&lt;=R138,"REORDER NOW",IF(W138&gt;0,"EXCESS - pause orders / promote","OK"))</f>
        <v/>
      </c>
      <c r="Z138" s="28">
        <f>IF(Y138="REORDER NOW",T138,0)</f>
        <v/>
      </c>
    </row>
    <row r="139">
      <c r="A139" s="5" t="inlineStr">
        <is>
          <t>P0130</t>
        </is>
      </c>
      <c r="B139" s="5" t="inlineStr">
        <is>
          <t>Health Item 130</t>
        </is>
      </c>
      <c r="C139" s="5" t="inlineStr">
        <is>
          <t>Health &amp; Safety</t>
        </is>
      </c>
      <c r="D139" s="5" t="inlineStr">
        <is>
          <t>S02</t>
        </is>
      </c>
      <c r="E139" s="5" t="inlineStr">
        <is>
          <t>C</t>
        </is>
      </c>
      <c r="F139" s="5" t="inlineStr">
        <is>
          <t>X</t>
        </is>
      </c>
      <c r="G139" s="22" t="n">
        <v>6.94</v>
      </c>
      <c r="H139" s="23" t="n">
        <v>8.044</v>
      </c>
      <c r="I139" s="23" t="n">
        <v>2.792</v>
      </c>
      <c r="J139" s="24" t="n">
        <v>10.431</v>
      </c>
      <c r="K139" s="24" t="n">
        <v>1.544</v>
      </c>
      <c r="L139" s="25" t="n">
        <v>50</v>
      </c>
      <c r="M139" s="25" t="n">
        <v>150</v>
      </c>
      <c r="N139" s="25" t="n">
        <v>0</v>
      </c>
      <c r="O139" s="26">
        <f>INDEX(Assumptions!$B$13:$B$15,MATCH(E139,Assumptions!$A$13:$A$15,0))</f>
        <v/>
      </c>
      <c r="P139" s="27">
        <f>NORMSINV(O139)</f>
        <v/>
      </c>
      <c r="Q139" s="28">
        <f>ROUNDUP(P139*SQRT(J139*I139^2+H139^2*K139^2),0)</f>
        <v/>
      </c>
      <c r="R139" s="28">
        <f>ROUNDUP(H139*J139+Q139,0)</f>
        <v/>
      </c>
      <c r="S139" s="28">
        <f>IF(H139&gt;0,ROUNDUP(SQRT(2*H139*365*Assumptions!$B$5/(Assumptions!$B$6*G139)),0),0)</f>
        <v/>
      </c>
      <c r="T139" s="28">
        <f>MAX(S139,L139)</f>
        <v/>
      </c>
      <c r="U139" s="28">
        <f>M139+N139</f>
        <v/>
      </c>
      <c r="V139" s="28">
        <f>IF(H139&gt;0,M139/H139,999)</f>
        <v/>
      </c>
      <c r="W139" s="28">
        <f>MAX(0,U139-MAX(R139+T139,H139*Assumptions!$B$10))</f>
        <v/>
      </c>
      <c r="X139" s="29">
        <f>W139*G139</f>
        <v/>
      </c>
      <c r="Y139" s="28">
        <f>IF(U139&lt;=R139,"REORDER NOW",IF(W139&gt;0,"EXCESS - pause orders / promote","OK"))</f>
        <v/>
      </c>
      <c r="Z139" s="28">
        <f>IF(Y139="REORDER NOW",T139,0)</f>
        <v/>
      </c>
    </row>
    <row r="140">
      <c r="A140" s="5" t="inlineStr">
        <is>
          <t>P0132</t>
        </is>
      </c>
      <c r="B140" s="5" t="inlineStr">
        <is>
          <t>Packaging Item 132</t>
        </is>
      </c>
      <c r="C140" s="5" t="inlineStr">
        <is>
          <t>Packaging</t>
        </is>
      </c>
      <c r="D140" s="5" t="inlineStr">
        <is>
          <t>S06</t>
        </is>
      </c>
      <c r="E140" s="5" t="inlineStr">
        <is>
          <t>C</t>
        </is>
      </c>
      <c r="F140" s="5" t="inlineStr">
        <is>
          <t>X</t>
        </is>
      </c>
      <c r="G140" s="22" t="n">
        <v>1.41</v>
      </c>
      <c r="H140" s="23" t="n">
        <v>1.304</v>
      </c>
      <c r="I140" s="23" t="n">
        <v>0.98</v>
      </c>
      <c r="J140" s="24" t="n">
        <v>13.277</v>
      </c>
      <c r="K140" s="24" t="n">
        <v>2.821</v>
      </c>
      <c r="L140" s="25" t="n">
        <v>48</v>
      </c>
      <c r="M140" s="25" t="n">
        <v>60</v>
      </c>
      <c r="N140" s="25" t="n">
        <v>0</v>
      </c>
      <c r="O140" s="26">
        <f>INDEX(Assumptions!$B$13:$B$15,MATCH(E140,Assumptions!$A$13:$A$15,0))</f>
        <v/>
      </c>
      <c r="P140" s="27">
        <f>NORMSINV(O140)</f>
        <v/>
      </c>
      <c r="Q140" s="28">
        <f>ROUNDUP(P140*SQRT(J140*I140^2+H140^2*K140^2),0)</f>
        <v/>
      </c>
      <c r="R140" s="28">
        <f>ROUNDUP(H140*J140+Q140,0)</f>
        <v/>
      </c>
      <c r="S140" s="28">
        <f>IF(H140&gt;0,ROUNDUP(SQRT(2*H140*365*Assumptions!$B$5/(Assumptions!$B$6*G140)),0),0)</f>
        <v/>
      </c>
      <c r="T140" s="28">
        <f>MAX(S140,L140)</f>
        <v/>
      </c>
      <c r="U140" s="28">
        <f>M140+N140</f>
        <v/>
      </c>
      <c r="V140" s="28">
        <f>IF(H140&gt;0,M140/H140,999)</f>
        <v/>
      </c>
      <c r="W140" s="28">
        <f>MAX(0,U140-MAX(R140+T140,H140*Assumptions!$B$10))</f>
        <v/>
      </c>
      <c r="X140" s="29">
        <f>W140*G140</f>
        <v/>
      </c>
      <c r="Y140" s="28">
        <f>IF(U140&lt;=R140,"REORDER NOW",IF(W140&gt;0,"EXCESS - pause orders / promote","OK"))</f>
        <v/>
      </c>
      <c r="Z140" s="28">
        <f>IF(Y140="REORDER NOW",T140,0)</f>
        <v/>
      </c>
    </row>
    <row r="141">
      <c r="A141" s="5" t="inlineStr">
        <is>
          <t>P0133</t>
        </is>
      </c>
      <c r="B141" s="5" t="inlineStr">
        <is>
          <t>Packaging Item 133</t>
        </is>
      </c>
      <c r="C141" s="5" t="inlineStr">
        <is>
          <t>Packaging</t>
        </is>
      </c>
      <c r="D141" s="5" t="inlineStr">
        <is>
          <t>S05</t>
        </is>
      </c>
      <c r="E141" s="5" t="inlineStr">
        <is>
          <t>C</t>
        </is>
      </c>
      <c r="F141" s="5" t="inlineStr">
        <is>
          <t>X</t>
        </is>
      </c>
      <c r="G141" s="22" t="n">
        <v>5.65</v>
      </c>
      <c r="H141" s="23" t="n">
        <v>1.776</v>
      </c>
      <c r="I141" s="23" t="n">
        <v>1.264</v>
      </c>
      <c r="J141" s="24" t="n">
        <v>8.19</v>
      </c>
      <c r="K141" s="24" t="n">
        <v>1.086</v>
      </c>
      <c r="L141" s="25" t="n">
        <v>24</v>
      </c>
      <c r="M141" s="25" t="n">
        <v>24</v>
      </c>
      <c r="N141" s="25" t="n">
        <v>54</v>
      </c>
      <c r="O141" s="26">
        <f>INDEX(Assumptions!$B$13:$B$15,MATCH(E141,Assumptions!$A$13:$A$15,0))</f>
        <v/>
      </c>
      <c r="P141" s="27">
        <f>NORMSINV(O141)</f>
        <v/>
      </c>
      <c r="Q141" s="28">
        <f>ROUNDUP(P141*SQRT(J141*I141^2+H141^2*K141^2),0)</f>
        <v/>
      </c>
      <c r="R141" s="28">
        <f>ROUNDUP(H141*J141+Q141,0)</f>
        <v/>
      </c>
      <c r="S141" s="28">
        <f>IF(H141&gt;0,ROUNDUP(SQRT(2*H141*365*Assumptions!$B$5/(Assumptions!$B$6*G141)),0),0)</f>
        <v/>
      </c>
      <c r="T141" s="28">
        <f>MAX(S141,L141)</f>
        <v/>
      </c>
      <c r="U141" s="28">
        <f>M141+N141</f>
        <v/>
      </c>
      <c r="V141" s="28">
        <f>IF(H141&gt;0,M141/H141,999)</f>
        <v/>
      </c>
      <c r="W141" s="28">
        <f>MAX(0,U141-MAX(R141+T141,H141*Assumptions!$B$10))</f>
        <v/>
      </c>
      <c r="X141" s="29">
        <f>W141*G141</f>
        <v/>
      </c>
      <c r="Y141" s="28">
        <f>IF(U141&lt;=R141,"REORDER NOW",IF(W141&gt;0,"EXCESS - pause orders / promote","OK"))</f>
        <v/>
      </c>
      <c r="Z141" s="28">
        <f>IF(Y141="REORDER NOW",T141,0)</f>
        <v/>
      </c>
    </row>
    <row r="142">
      <c r="A142" s="5" t="inlineStr">
        <is>
          <t>P0134</t>
        </is>
      </c>
      <c r="B142" s="5" t="inlineStr">
        <is>
          <t>Packaging Item 134</t>
        </is>
      </c>
      <c r="C142" s="5" t="inlineStr">
        <is>
          <t>Packaging</t>
        </is>
      </c>
      <c r="D142" s="5" t="inlineStr">
        <is>
          <t>S10</t>
        </is>
      </c>
      <c r="E142" s="5" t="inlineStr">
        <is>
          <t>C</t>
        </is>
      </c>
      <c r="F142" s="5" t="inlineStr">
        <is>
          <t>X</t>
        </is>
      </c>
      <c r="G142" s="22" t="n">
        <v>1.83</v>
      </c>
      <c r="H142" s="23" t="n">
        <v>1.505</v>
      </c>
      <c r="I142" s="23" t="n">
        <v>1.387</v>
      </c>
      <c r="J142" s="24" t="n">
        <v>21.86</v>
      </c>
      <c r="K142" s="24" t="n">
        <v>2.931</v>
      </c>
      <c r="L142" s="25" t="n">
        <v>120</v>
      </c>
      <c r="M142" s="25" t="n">
        <v>87</v>
      </c>
      <c r="N142" s="25" t="n">
        <v>0</v>
      </c>
      <c r="O142" s="26">
        <f>INDEX(Assumptions!$B$13:$B$15,MATCH(E142,Assumptions!$A$13:$A$15,0))</f>
        <v/>
      </c>
      <c r="P142" s="27">
        <f>NORMSINV(O142)</f>
        <v/>
      </c>
      <c r="Q142" s="28">
        <f>ROUNDUP(P142*SQRT(J142*I142^2+H142^2*K142^2),0)</f>
        <v/>
      </c>
      <c r="R142" s="28">
        <f>ROUNDUP(H142*J142+Q142,0)</f>
        <v/>
      </c>
      <c r="S142" s="28">
        <f>IF(H142&gt;0,ROUNDUP(SQRT(2*H142*365*Assumptions!$B$5/(Assumptions!$B$6*G142)),0),0)</f>
        <v/>
      </c>
      <c r="T142" s="28">
        <f>MAX(S142,L142)</f>
        <v/>
      </c>
      <c r="U142" s="28">
        <f>M142+N142</f>
        <v/>
      </c>
      <c r="V142" s="28">
        <f>IF(H142&gt;0,M142/H142,999)</f>
        <v/>
      </c>
      <c r="W142" s="28">
        <f>MAX(0,U142-MAX(R142+T142,H142*Assumptions!$B$10))</f>
        <v/>
      </c>
      <c r="X142" s="29">
        <f>W142*G142</f>
        <v/>
      </c>
      <c r="Y142" s="28">
        <f>IF(U142&lt;=R142,"REORDER NOW",IF(W142&gt;0,"EXCESS - pause orders / promote","OK"))</f>
        <v/>
      </c>
      <c r="Z142" s="28">
        <f>IF(Y142="REORDER NOW",T142,0)</f>
        <v/>
      </c>
    </row>
    <row r="143">
      <c r="A143" s="5" t="inlineStr">
        <is>
          <t>P0135</t>
        </is>
      </c>
      <c r="B143" s="5" t="inlineStr">
        <is>
          <t>Packaging Item 135</t>
        </is>
      </c>
      <c r="C143" s="5" t="inlineStr">
        <is>
          <t>Packaging</t>
        </is>
      </c>
      <c r="D143" s="5" t="inlineStr">
        <is>
          <t>S10</t>
        </is>
      </c>
      <c r="E143" s="5" t="inlineStr">
        <is>
          <t>C</t>
        </is>
      </c>
      <c r="F143" s="5" t="inlineStr">
        <is>
          <t>Y</t>
        </is>
      </c>
      <c r="G143" s="22" t="n">
        <v>5.55</v>
      </c>
      <c r="H143" s="23" t="n">
        <v>0.513</v>
      </c>
      <c r="I143" s="23" t="n">
        <v>0.702</v>
      </c>
      <c r="J143" s="24" t="n">
        <v>21.86</v>
      </c>
      <c r="K143" s="24" t="n">
        <v>2.931</v>
      </c>
      <c r="L143" s="25" t="n">
        <v>120</v>
      </c>
      <c r="M143" s="25" t="n">
        <v>108</v>
      </c>
      <c r="N143" s="25" t="n">
        <v>0</v>
      </c>
      <c r="O143" s="26">
        <f>INDEX(Assumptions!$B$13:$B$15,MATCH(E143,Assumptions!$A$13:$A$15,0))</f>
        <v/>
      </c>
      <c r="P143" s="27">
        <f>NORMSINV(O143)</f>
        <v/>
      </c>
      <c r="Q143" s="28">
        <f>ROUNDUP(P143*SQRT(J143*I143^2+H143^2*K143^2),0)</f>
        <v/>
      </c>
      <c r="R143" s="28">
        <f>ROUNDUP(H143*J143+Q143,0)</f>
        <v/>
      </c>
      <c r="S143" s="28">
        <f>IF(H143&gt;0,ROUNDUP(SQRT(2*H143*365*Assumptions!$B$5/(Assumptions!$B$6*G143)),0),0)</f>
        <v/>
      </c>
      <c r="T143" s="28">
        <f>MAX(S143,L143)</f>
        <v/>
      </c>
      <c r="U143" s="28">
        <f>M143+N143</f>
        <v/>
      </c>
      <c r="V143" s="28">
        <f>IF(H143&gt;0,M143/H143,999)</f>
        <v/>
      </c>
      <c r="W143" s="28">
        <f>MAX(0,U143-MAX(R143+T143,H143*Assumptions!$B$10))</f>
        <v/>
      </c>
      <c r="X143" s="29">
        <f>W143*G143</f>
        <v/>
      </c>
      <c r="Y143" s="28">
        <f>IF(U143&lt;=R143,"REORDER NOW",IF(W143&gt;0,"EXCESS - pause orders / promote","OK"))</f>
        <v/>
      </c>
      <c r="Z143" s="28">
        <f>IF(Y143="REORDER NOW",T143,0)</f>
        <v/>
      </c>
    </row>
    <row r="144">
      <c r="A144" s="5" t="inlineStr">
        <is>
          <t>P0136</t>
        </is>
      </c>
      <c r="B144" s="5" t="inlineStr">
        <is>
          <t>Packaging Item 136</t>
        </is>
      </c>
      <c r="C144" s="5" t="inlineStr">
        <is>
          <t>Packaging</t>
        </is>
      </c>
      <c r="D144" s="5" t="inlineStr">
        <is>
          <t>S03</t>
        </is>
      </c>
      <c r="E144" s="5" t="inlineStr">
        <is>
          <t>C</t>
        </is>
      </c>
      <c r="F144" s="5" t="inlineStr">
        <is>
          <t>X</t>
        </is>
      </c>
      <c r="G144" s="22" t="n">
        <v>2.97</v>
      </c>
      <c r="H144" s="23" t="n">
        <v>3.489</v>
      </c>
      <c r="I144" s="23" t="n">
        <v>1.595</v>
      </c>
      <c r="J144" s="24" t="n">
        <v>5.124</v>
      </c>
      <c r="K144" s="24" t="n">
        <v>0.839</v>
      </c>
      <c r="L144" s="25" t="n">
        <v>12</v>
      </c>
      <c r="M144" s="25" t="n">
        <v>94</v>
      </c>
      <c r="N144" s="25" t="n">
        <v>0</v>
      </c>
      <c r="O144" s="26">
        <f>INDEX(Assumptions!$B$13:$B$15,MATCH(E144,Assumptions!$A$13:$A$15,0))</f>
        <v/>
      </c>
      <c r="P144" s="27">
        <f>NORMSINV(O144)</f>
        <v/>
      </c>
      <c r="Q144" s="28">
        <f>ROUNDUP(P144*SQRT(J144*I144^2+H144^2*K144^2),0)</f>
        <v/>
      </c>
      <c r="R144" s="28">
        <f>ROUNDUP(H144*J144+Q144,0)</f>
        <v/>
      </c>
      <c r="S144" s="28">
        <f>IF(H144&gt;0,ROUNDUP(SQRT(2*H144*365*Assumptions!$B$5/(Assumptions!$B$6*G144)),0),0)</f>
        <v/>
      </c>
      <c r="T144" s="28">
        <f>MAX(S144,L144)</f>
        <v/>
      </c>
      <c r="U144" s="28">
        <f>M144+N144</f>
        <v/>
      </c>
      <c r="V144" s="28">
        <f>IF(H144&gt;0,M144/H144,999)</f>
        <v/>
      </c>
      <c r="W144" s="28">
        <f>MAX(0,U144-MAX(R144+T144,H144*Assumptions!$B$10))</f>
        <v/>
      </c>
      <c r="X144" s="29">
        <f>W144*G144</f>
        <v/>
      </c>
      <c r="Y144" s="28">
        <f>IF(U144&lt;=R144,"REORDER NOW",IF(W144&gt;0,"EXCESS - pause orders / promote","OK"))</f>
        <v/>
      </c>
      <c r="Z144" s="28">
        <f>IF(Y144="REORDER NOW",T144,0)</f>
        <v/>
      </c>
    </row>
    <row r="145">
      <c r="A145" s="5" t="inlineStr">
        <is>
          <t>P0137</t>
        </is>
      </c>
      <c r="B145" s="5" t="inlineStr">
        <is>
          <t>Packaging Item 137</t>
        </is>
      </c>
      <c r="C145" s="5" t="inlineStr">
        <is>
          <t>Packaging</t>
        </is>
      </c>
      <c r="D145" s="5" t="inlineStr">
        <is>
          <t>S09</t>
        </is>
      </c>
      <c r="E145" s="5" t="inlineStr">
        <is>
          <t>C</t>
        </is>
      </c>
      <c r="F145" s="5" t="inlineStr">
        <is>
          <t>Y</t>
        </is>
      </c>
      <c r="G145" s="22" t="n">
        <v>7.71</v>
      </c>
      <c r="H145" s="23" t="n">
        <v>0.388</v>
      </c>
      <c r="I145" s="23" t="n">
        <v>0.783</v>
      </c>
      <c r="J145" s="24" t="n">
        <v>13.138</v>
      </c>
      <c r="K145" s="24" t="n">
        <v>3.817</v>
      </c>
      <c r="L145" s="25" t="n">
        <v>150</v>
      </c>
      <c r="M145" s="25" t="n">
        <v>172</v>
      </c>
      <c r="N145" s="25" t="n">
        <v>0</v>
      </c>
      <c r="O145" s="26">
        <f>INDEX(Assumptions!$B$13:$B$15,MATCH(E145,Assumptions!$A$13:$A$15,0))</f>
        <v/>
      </c>
      <c r="P145" s="27">
        <f>NORMSINV(O145)</f>
        <v/>
      </c>
      <c r="Q145" s="28">
        <f>ROUNDUP(P145*SQRT(J145*I145^2+H145^2*K145^2),0)</f>
        <v/>
      </c>
      <c r="R145" s="28">
        <f>ROUNDUP(H145*J145+Q145,0)</f>
        <v/>
      </c>
      <c r="S145" s="28">
        <f>IF(H145&gt;0,ROUNDUP(SQRT(2*H145*365*Assumptions!$B$5/(Assumptions!$B$6*G145)),0),0)</f>
        <v/>
      </c>
      <c r="T145" s="28">
        <f>MAX(S145,L145)</f>
        <v/>
      </c>
      <c r="U145" s="28">
        <f>M145+N145</f>
        <v/>
      </c>
      <c r="V145" s="28">
        <f>IF(H145&gt;0,M145/H145,999)</f>
        <v/>
      </c>
      <c r="W145" s="28">
        <f>MAX(0,U145-MAX(R145+T145,H145*Assumptions!$B$10))</f>
        <v/>
      </c>
      <c r="X145" s="29">
        <f>W145*G145</f>
        <v/>
      </c>
      <c r="Y145" s="28">
        <f>IF(U145&lt;=R145,"REORDER NOW",IF(W145&gt;0,"EXCESS - pause orders / promote","OK"))</f>
        <v/>
      </c>
      <c r="Z145" s="28">
        <f>IF(Y145="REORDER NOW",T145,0)</f>
        <v/>
      </c>
    </row>
    <row r="146">
      <c r="A146" s="5" t="inlineStr">
        <is>
          <t>P0138</t>
        </is>
      </c>
      <c r="B146" s="5" t="inlineStr">
        <is>
          <t>Packaging Item 138</t>
        </is>
      </c>
      <c r="C146" s="5" t="inlineStr">
        <is>
          <t>Packaging</t>
        </is>
      </c>
      <c r="D146" s="5" t="inlineStr">
        <is>
          <t>S03</t>
        </is>
      </c>
      <c r="E146" s="5" t="inlineStr">
        <is>
          <t>C</t>
        </is>
      </c>
      <c r="F146" s="5" t="inlineStr">
        <is>
          <t>Y</t>
        </is>
      </c>
      <c r="G146" s="22" t="n">
        <v>7.05</v>
      </c>
      <c r="H146" s="23" t="n">
        <v>0.512</v>
      </c>
      <c r="I146" s="23" t="n">
        <v>0.66</v>
      </c>
      <c r="J146" s="24" t="n">
        <v>5.124</v>
      </c>
      <c r="K146" s="24" t="n">
        <v>0.839</v>
      </c>
      <c r="L146" s="25" t="n">
        <v>12</v>
      </c>
      <c r="M146" s="25" t="n">
        <v>4</v>
      </c>
      <c r="N146" s="25" t="n">
        <v>31</v>
      </c>
      <c r="O146" s="26">
        <f>INDEX(Assumptions!$B$13:$B$15,MATCH(E146,Assumptions!$A$13:$A$15,0))</f>
        <v/>
      </c>
      <c r="P146" s="27">
        <f>NORMSINV(O146)</f>
        <v/>
      </c>
      <c r="Q146" s="28">
        <f>ROUNDUP(P146*SQRT(J146*I146^2+H146^2*K146^2),0)</f>
        <v/>
      </c>
      <c r="R146" s="28">
        <f>ROUNDUP(H146*J146+Q146,0)</f>
        <v/>
      </c>
      <c r="S146" s="28">
        <f>IF(H146&gt;0,ROUNDUP(SQRT(2*H146*365*Assumptions!$B$5/(Assumptions!$B$6*G146)),0),0)</f>
        <v/>
      </c>
      <c r="T146" s="28">
        <f>MAX(S146,L146)</f>
        <v/>
      </c>
      <c r="U146" s="28">
        <f>M146+N146</f>
        <v/>
      </c>
      <c r="V146" s="28">
        <f>IF(H146&gt;0,M146/H146,999)</f>
        <v/>
      </c>
      <c r="W146" s="28">
        <f>MAX(0,U146-MAX(R146+T146,H146*Assumptions!$B$10))</f>
        <v/>
      </c>
      <c r="X146" s="29">
        <f>W146*G146</f>
        <v/>
      </c>
      <c r="Y146" s="28">
        <f>IF(U146&lt;=R146,"REORDER NOW",IF(W146&gt;0,"EXCESS - pause orders / promote","OK"))</f>
        <v/>
      </c>
      <c r="Z146" s="28">
        <f>IF(Y146="REORDER NOW",T146,0)</f>
        <v/>
      </c>
    </row>
    <row r="147">
      <c r="A147" s="5" t="inlineStr">
        <is>
          <t>P0139</t>
        </is>
      </c>
      <c r="B147" s="5" t="inlineStr">
        <is>
          <t>Packaging Item 139</t>
        </is>
      </c>
      <c r="C147" s="5" t="inlineStr">
        <is>
          <t>Packaging</t>
        </is>
      </c>
      <c r="D147" s="5" t="inlineStr">
        <is>
          <t>S01</t>
        </is>
      </c>
      <c r="E147" s="5" t="inlineStr">
        <is>
          <t>C</t>
        </is>
      </c>
      <c r="F147" s="5" t="inlineStr">
        <is>
          <t>Y</t>
        </is>
      </c>
      <c r="G147" s="22" t="n">
        <v>4.02</v>
      </c>
      <c r="H147" s="23" t="n">
        <v>0.724</v>
      </c>
      <c r="I147" s="23" t="n">
        <v>0.733</v>
      </c>
      <c r="J147" s="24" t="n">
        <v>7.124</v>
      </c>
      <c r="K147" s="24" t="n">
        <v>1.029</v>
      </c>
      <c r="L147" s="25" t="n">
        <v>24</v>
      </c>
      <c r="M147" s="25" t="n">
        <v>12</v>
      </c>
      <c r="N147" s="25" t="n">
        <v>0</v>
      </c>
      <c r="O147" s="26">
        <f>INDEX(Assumptions!$B$13:$B$15,MATCH(E147,Assumptions!$A$13:$A$15,0))</f>
        <v/>
      </c>
      <c r="P147" s="27">
        <f>NORMSINV(O147)</f>
        <v/>
      </c>
      <c r="Q147" s="28">
        <f>ROUNDUP(P147*SQRT(J147*I147^2+H147^2*K147^2),0)</f>
        <v/>
      </c>
      <c r="R147" s="28">
        <f>ROUNDUP(H147*J147+Q147,0)</f>
        <v/>
      </c>
      <c r="S147" s="28">
        <f>IF(H147&gt;0,ROUNDUP(SQRT(2*H147*365*Assumptions!$B$5/(Assumptions!$B$6*G147)),0),0)</f>
        <v/>
      </c>
      <c r="T147" s="28">
        <f>MAX(S147,L147)</f>
        <v/>
      </c>
      <c r="U147" s="28">
        <f>M147+N147</f>
        <v/>
      </c>
      <c r="V147" s="28">
        <f>IF(H147&gt;0,M147/H147,999)</f>
        <v/>
      </c>
      <c r="W147" s="28">
        <f>MAX(0,U147-MAX(R147+T147,H147*Assumptions!$B$10))</f>
        <v/>
      </c>
      <c r="X147" s="29">
        <f>W147*G147</f>
        <v/>
      </c>
      <c r="Y147" s="28">
        <f>IF(U147&lt;=R147,"REORDER NOW",IF(W147&gt;0,"EXCESS - pause orders / promote","OK"))</f>
        <v/>
      </c>
      <c r="Z147" s="28">
        <f>IF(Y147="REORDER NOW",T147,0)</f>
        <v/>
      </c>
    </row>
    <row r="148">
      <c r="A148" s="5" t="inlineStr">
        <is>
          <t>P0142</t>
        </is>
      </c>
      <c r="B148" s="5" t="inlineStr">
        <is>
          <t>Packaging Item 142</t>
        </is>
      </c>
      <c r="C148" s="5" t="inlineStr">
        <is>
          <t>Packaging</t>
        </is>
      </c>
      <c r="D148" s="5" t="inlineStr">
        <is>
          <t>S06</t>
        </is>
      </c>
      <c r="E148" s="5" t="inlineStr">
        <is>
          <t>C</t>
        </is>
      </c>
      <c r="F148" s="5" t="inlineStr">
        <is>
          <t>X</t>
        </is>
      </c>
      <c r="G148" s="22" t="n">
        <v>3.87</v>
      </c>
      <c r="H148" s="23" t="n">
        <v>3.67</v>
      </c>
      <c r="I148" s="23" t="n">
        <v>2</v>
      </c>
      <c r="J148" s="24" t="n">
        <v>13.277</v>
      </c>
      <c r="K148" s="24" t="n">
        <v>2.821</v>
      </c>
      <c r="L148" s="25" t="n">
        <v>48</v>
      </c>
      <c r="M148" s="25" t="n">
        <v>65</v>
      </c>
      <c r="N148" s="25" t="n">
        <v>0</v>
      </c>
      <c r="O148" s="26">
        <f>INDEX(Assumptions!$B$13:$B$15,MATCH(E148,Assumptions!$A$13:$A$15,0))</f>
        <v/>
      </c>
      <c r="P148" s="27">
        <f>NORMSINV(O148)</f>
        <v/>
      </c>
      <c r="Q148" s="28">
        <f>ROUNDUP(P148*SQRT(J148*I148^2+H148^2*K148^2),0)</f>
        <v/>
      </c>
      <c r="R148" s="28">
        <f>ROUNDUP(H148*J148+Q148,0)</f>
        <v/>
      </c>
      <c r="S148" s="28">
        <f>IF(H148&gt;0,ROUNDUP(SQRT(2*H148*365*Assumptions!$B$5/(Assumptions!$B$6*G148)),0),0)</f>
        <v/>
      </c>
      <c r="T148" s="28">
        <f>MAX(S148,L148)</f>
        <v/>
      </c>
      <c r="U148" s="28">
        <f>M148+N148</f>
        <v/>
      </c>
      <c r="V148" s="28">
        <f>IF(H148&gt;0,M148/H148,999)</f>
        <v/>
      </c>
      <c r="W148" s="28">
        <f>MAX(0,U148-MAX(R148+T148,H148*Assumptions!$B$10))</f>
        <v/>
      </c>
      <c r="X148" s="29">
        <f>W148*G148</f>
        <v/>
      </c>
      <c r="Y148" s="28">
        <f>IF(U148&lt;=R148,"REORDER NOW",IF(W148&gt;0,"EXCESS - pause orders / promote","OK"))</f>
        <v/>
      </c>
      <c r="Z148" s="28">
        <f>IF(Y148="REORDER NOW",T148,0)</f>
        <v/>
      </c>
    </row>
    <row r="149">
      <c r="A149" s="5" t="inlineStr">
        <is>
          <t>P0143</t>
        </is>
      </c>
      <c r="B149" s="5" t="inlineStr">
        <is>
          <t>Packaging Item 143</t>
        </is>
      </c>
      <c r="C149" s="5" t="inlineStr">
        <is>
          <t>Packaging</t>
        </is>
      </c>
      <c r="D149" s="5" t="inlineStr">
        <is>
          <t>S02</t>
        </is>
      </c>
      <c r="E149" s="5" t="inlineStr">
        <is>
          <t>C</t>
        </is>
      </c>
      <c r="F149" s="5" t="inlineStr">
        <is>
          <t>X</t>
        </is>
      </c>
      <c r="G149" s="22" t="n">
        <v>4.59</v>
      </c>
      <c r="H149" s="23" t="n">
        <v>0.697</v>
      </c>
      <c r="I149" s="23" t="n">
        <v>0.8110000000000001</v>
      </c>
      <c r="J149" s="24" t="n">
        <v>10.431</v>
      </c>
      <c r="K149" s="24" t="n">
        <v>1.544</v>
      </c>
      <c r="L149" s="25" t="n">
        <v>50</v>
      </c>
      <c r="M149" s="25" t="n">
        <v>17</v>
      </c>
      <c r="N149" s="25" t="n">
        <v>0</v>
      </c>
      <c r="O149" s="26">
        <f>INDEX(Assumptions!$B$13:$B$15,MATCH(E149,Assumptions!$A$13:$A$15,0))</f>
        <v/>
      </c>
      <c r="P149" s="27">
        <f>NORMSINV(O149)</f>
        <v/>
      </c>
      <c r="Q149" s="28">
        <f>ROUNDUP(P149*SQRT(J149*I149^2+H149^2*K149^2),0)</f>
        <v/>
      </c>
      <c r="R149" s="28">
        <f>ROUNDUP(H149*J149+Q149,0)</f>
        <v/>
      </c>
      <c r="S149" s="28">
        <f>IF(H149&gt;0,ROUNDUP(SQRT(2*H149*365*Assumptions!$B$5/(Assumptions!$B$6*G149)),0),0)</f>
        <v/>
      </c>
      <c r="T149" s="28">
        <f>MAX(S149,L149)</f>
        <v/>
      </c>
      <c r="U149" s="28">
        <f>M149+N149</f>
        <v/>
      </c>
      <c r="V149" s="28">
        <f>IF(H149&gt;0,M149/H149,999)</f>
        <v/>
      </c>
      <c r="W149" s="28">
        <f>MAX(0,U149-MAX(R149+T149,H149*Assumptions!$B$10))</f>
        <v/>
      </c>
      <c r="X149" s="29">
        <f>W149*G149</f>
        <v/>
      </c>
      <c r="Y149" s="28">
        <f>IF(U149&lt;=R149,"REORDER NOW",IF(W149&gt;0,"EXCESS - pause orders / promote","OK"))</f>
        <v/>
      </c>
      <c r="Z149" s="28">
        <f>IF(Y149="REORDER NOW",T149,0)</f>
        <v/>
      </c>
    </row>
    <row r="150">
      <c r="A150" s="5" t="inlineStr">
        <is>
          <t>P0145</t>
        </is>
      </c>
      <c r="B150" s="5" t="inlineStr">
        <is>
          <t>Packaging Item 145</t>
        </is>
      </c>
      <c r="C150" s="5" t="inlineStr">
        <is>
          <t>Packaging</t>
        </is>
      </c>
      <c r="D150" s="5" t="inlineStr">
        <is>
          <t>S01</t>
        </is>
      </c>
      <c r="E150" s="5" t="inlineStr">
        <is>
          <t>C</t>
        </is>
      </c>
      <c r="F150" s="5" t="inlineStr">
        <is>
          <t>X</t>
        </is>
      </c>
      <c r="G150" s="22" t="n">
        <v>2.45</v>
      </c>
      <c r="H150" s="23" t="n">
        <v>1.903</v>
      </c>
      <c r="I150" s="23" t="n">
        <v>1.569</v>
      </c>
      <c r="J150" s="24" t="n">
        <v>7.124</v>
      </c>
      <c r="K150" s="24" t="n">
        <v>1.029</v>
      </c>
      <c r="L150" s="25" t="n">
        <v>24</v>
      </c>
      <c r="M150" s="25" t="n">
        <v>69</v>
      </c>
      <c r="N150" s="25" t="n">
        <v>0</v>
      </c>
      <c r="O150" s="26">
        <f>INDEX(Assumptions!$B$13:$B$15,MATCH(E150,Assumptions!$A$13:$A$15,0))</f>
        <v/>
      </c>
      <c r="P150" s="27">
        <f>NORMSINV(O150)</f>
        <v/>
      </c>
      <c r="Q150" s="28">
        <f>ROUNDUP(P150*SQRT(J150*I150^2+H150^2*K150^2),0)</f>
        <v/>
      </c>
      <c r="R150" s="28">
        <f>ROUNDUP(H150*J150+Q150,0)</f>
        <v/>
      </c>
      <c r="S150" s="28">
        <f>IF(H150&gt;0,ROUNDUP(SQRT(2*H150*365*Assumptions!$B$5/(Assumptions!$B$6*G150)),0),0)</f>
        <v/>
      </c>
      <c r="T150" s="28">
        <f>MAX(S150,L150)</f>
        <v/>
      </c>
      <c r="U150" s="28">
        <f>M150+N150</f>
        <v/>
      </c>
      <c r="V150" s="28">
        <f>IF(H150&gt;0,M150/H150,999)</f>
        <v/>
      </c>
      <c r="W150" s="28">
        <f>MAX(0,U150-MAX(R150+T150,H150*Assumptions!$B$10))</f>
        <v/>
      </c>
      <c r="X150" s="29">
        <f>W150*G150</f>
        <v/>
      </c>
      <c r="Y150" s="28">
        <f>IF(U150&lt;=R150,"REORDER NOW",IF(W150&gt;0,"EXCESS - pause orders / promote","OK"))</f>
        <v/>
      </c>
      <c r="Z150" s="28">
        <f>IF(Y150="REORDER NOW",T150,0)</f>
        <v/>
      </c>
    </row>
    <row r="151">
      <c r="A151" s="5" t="inlineStr">
        <is>
          <t>P0146</t>
        </is>
      </c>
      <c r="B151" s="5" t="inlineStr">
        <is>
          <t>Packaging Item 146</t>
        </is>
      </c>
      <c r="C151" s="5" t="inlineStr">
        <is>
          <t>Packaging</t>
        </is>
      </c>
      <c r="D151" s="5" t="inlineStr">
        <is>
          <t>S02</t>
        </is>
      </c>
      <c r="E151" s="5" t="inlineStr">
        <is>
          <t>C</t>
        </is>
      </c>
      <c r="F151" s="5" t="inlineStr">
        <is>
          <t>Y</t>
        </is>
      </c>
      <c r="G151" s="22" t="n">
        <v>1.22</v>
      </c>
      <c r="H151" s="23" t="n">
        <v>0.036</v>
      </c>
      <c r="I151" s="23" t="n">
        <v>0.134</v>
      </c>
      <c r="J151" s="24" t="n">
        <v>10.431</v>
      </c>
      <c r="K151" s="24" t="n">
        <v>1.544</v>
      </c>
      <c r="L151" s="25" t="n">
        <v>50</v>
      </c>
      <c r="M151" s="25" t="n">
        <v>39</v>
      </c>
      <c r="N151" s="25" t="n">
        <v>0</v>
      </c>
      <c r="O151" s="26">
        <f>INDEX(Assumptions!$B$13:$B$15,MATCH(E151,Assumptions!$A$13:$A$15,0))</f>
        <v/>
      </c>
      <c r="P151" s="27">
        <f>NORMSINV(O151)</f>
        <v/>
      </c>
      <c r="Q151" s="28">
        <f>ROUNDUP(P151*SQRT(J151*I151^2+H151^2*K151^2),0)</f>
        <v/>
      </c>
      <c r="R151" s="28">
        <f>ROUNDUP(H151*J151+Q151,0)</f>
        <v/>
      </c>
      <c r="S151" s="28">
        <f>IF(H151&gt;0,ROUNDUP(SQRT(2*H151*365*Assumptions!$B$5/(Assumptions!$B$6*G151)),0),0)</f>
        <v/>
      </c>
      <c r="T151" s="28">
        <f>MAX(S151,L151)</f>
        <v/>
      </c>
      <c r="U151" s="28">
        <f>M151+N151</f>
        <v/>
      </c>
      <c r="V151" s="28">
        <f>IF(H151&gt;0,M151/H151,999)</f>
        <v/>
      </c>
      <c r="W151" s="28">
        <f>MAX(0,U151-MAX(R151+T151,H151*Assumptions!$B$10))</f>
        <v/>
      </c>
      <c r="X151" s="29">
        <f>W151*G151</f>
        <v/>
      </c>
      <c r="Y151" s="28">
        <f>IF(U151&lt;=R151,"REORDER NOW",IF(W151&gt;0,"EXCESS - pause orders / promote","OK"))</f>
        <v/>
      </c>
      <c r="Z151" s="28">
        <f>IF(Y151="REORDER NOW",T151,0)</f>
        <v/>
      </c>
    </row>
    <row r="152">
      <c r="A152" s="5" t="inlineStr">
        <is>
          <t>P0147</t>
        </is>
      </c>
      <c r="B152" s="5" t="inlineStr">
        <is>
          <t>Packaging Item 147</t>
        </is>
      </c>
      <c r="C152" s="5" t="inlineStr">
        <is>
          <t>Packaging</t>
        </is>
      </c>
      <c r="D152" s="5" t="inlineStr">
        <is>
          <t>S08</t>
        </is>
      </c>
      <c r="E152" s="5" t="inlineStr">
        <is>
          <t>C</t>
        </is>
      </c>
      <c r="F152" s="5" t="inlineStr">
        <is>
          <t>X</t>
        </is>
      </c>
      <c r="G152" s="22" t="n">
        <v>2.9</v>
      </c>
      <c r="H152" s="23" t="n">
        <v>1.221</v>
      </c>
      <c r="I152" s="23" t="n">
        <v>1.086</v>
      </c>
      <c r="J152" s="24" t="n">
        <v>9.132</v>
      </c>
      <c r="K152" s="24" t="n">
        <v>1.033</v>
      </c>
      <c r="L152" s="25" t="n">
        <v>12</v>
      </c>
      <c r="M152" s="25" t="n">
        <v>17</v>
      </c>
      <c r="N152" s="25" t="n">
        <v>29</v>
      </c>
      <c r="O152" s="26">
        <f>INDEX(Assumptions!$B$13:$B$15,MATCH(E152,Assumptions!$A$13:$A$15,0))</f>
        <v/>
      </c>
      <c r="P152" s="27">
        <f>NORMSINV(O152)</f>
        <v/>
      </c>
      <c r="Q152" s="28">
        <f>ROUNDUP(P152*SQRT(J152*I152^2+H152^2*K152^2),0)</f>
        <v/>
      </c>
      <c r="R152" s="28">
        <f>ROUNDUP(H152*J152+Q152,0)</f>
        <v/>
      </c>
      <c r="S152" s="28">
        <f>IF(H152&gt;0,ROUNDUP(SQRT(2*H152*365*Assumptions!$B$5/(Assumptions!$B$6*G152)),0),0)</f>
        <v/>
      </c>
      <c r="T152" s="28">
        <f>MAX(S152,L152)</f>
        <v/>
      </c>
      <c r="U152" s="28">
        <f>M152+N152</f>
        <v/>
      </c>
      <c r="V152" s="28">
        <f>IF(H152&gt;0,M152/H152,999)</f>
        <v/>
      </c>
      <c r="W152" s="28">
        <f>MAX(0,U152-MAX(R152+T152,H152*Assumptions!$B$10))</f>
        <v/>
      </c>
      <c r="X152" s="29">
        <f>W152*G152</f>
        <v/>
      </c>
      <c r="Y152" s="28">
        <f>IF(U152&lt;=R152,"REORDER NOW",IF(W152&gt;0,"EXCESS - pause orders / promote","OK"))</f>
        <v/>
      </c>
      <c r="Z152" s="28">
        <f>IF(Y152="REORDER NOW",T152,0)</f>
        <v/>
      </c>
    </row>
    <row r="153">
      <c r="A153" s="5" t="inlineStr">
        <is>
          <t>P0149</t>
        </is>
      </c>
      <c r="B153" s="5" t="inlineStr">
        <is>
          <t>Packaging Item 149</t>
        </is>
      </c>
      <c r="C153" s="5" t="inlineStr">
        <is>
          <t>Packaging</t>
        </is>
      </c>
      <c r="D153" s="5" t="inlineStr">
        <is>
          <t>S03</t>
        </is>
      </c>
      <c r="E153" s="5" t="inlineStr">
        <is>
          <t>C</t>
        </is>
      </c>
      <c r="F153" s="5" t="inlineStr">
        <is>
          <t>X</t>
        </is>
      </c>
      <c r="G153" s="22" t="n">
        <v>14.82</v>
      </c>
      <c r="H153" s="23" t="n">
        <v>1.254</v>
      </c>
      <c r="I153" s="23" t="n">
        <v>1.079</v>
      </c>
      <c r="J153" s="24" t="n">
        <v>5.124</v>
      </c>
      <c r="K153" s="24" t="n">
        <v>0.839</v>
      </c>
      <c r="L153" s="25" t="n">
        <v>12</v>
      </c>
      <c r="M153" s="25" t="n">
        <v>71</v>
      </c>
      <c r="N153" s="25" t="n">
        <v>0</v>
      </c>
      <c r="O153" s="26">
        <f>INDEX(Assumptions!$B$13:$B$15,MATCH(E153,Assumptions!$A$13:$A$15,0))</f>
        <v/>
      </c>
      <c r="P153" s="27">
        <f>NORMSINV(O153)</f>
        <v/>
      </c>
      <c r="Q153" s="28">
        <f>ROUNDUP(P153*SQRT(J153*I153^2+H153^2*K153^2),0)</f>
        <v/>
      </c>
      <c r="R153" s="28">
        <f>ROUNDUP(H153*J153+Q153,0)</f>
        <v/>
      </c>
      <c r="S153" s="28">
        <f>IF(H153&gt;0,ROUNDUP(SQRT(2*H153*365*Assumptions!$B$5/(Assumptions!$B$6*G153)),0),0)</f>
        <v/>
      </c>
      <c r="T153" s="28">
        <f>MAX(S153,L153)</f>
        <v/>
      </c>
      <c r="U153" s="28">
        <f>M153+N153</f>
        <v/>
      </c>
      <c r="V153" s="28">
        <f>IF(H153&gt;0,M153/H153,999)</f>
        <v/>
      </c>
      <c r="W153" s="28">
        <f>MAX(0,U153-MAX(R153+T153,H153*Assumptions!$B$10))</f>
        <v/>
      </c>
      <c r="X153" s="29">
        <f>W153*G153</f>
        <v/>
      </c>
      <c r="Y153" s="28">
        <f>IF(U153&lt;=R153,"REORDER NOW",IF(W153&gt;0,"EXCESS - pause orders / promote","OK"))</f>
        <v/>
      </c>
      <c r="Z153" s="28">
        <f>IF(Y153="REORDER NOW",T153,0)</f>
        <v/>
      </c>
    </row>
    <row r="154">
      <c r="A154" s="5" t="inlineStr">
        <is>
          <t>P0150</t>
        </is>
      </c>
      <c r="B154" s="5" t="inlineStr">
        <is>
          <t>Packaging Item 150</t>
        </is>
      </c>
      <c r="C154" s="5" t="inlineStr">
        <is>
          <t>Packaging</t>
        </is>
      </c>
      <c r="D154" s="5" t="inlineStr">
        <is>
          <t>S07</t>
        </is>
      </c>
      <c r="E154" s="5" t="inlineStr">
        <is>
          <t>C</t>
        </is>
      </c>
      <c r="F154" s="5" t="inlineStr">
        <is>
          <t>X</t>
        </is>
      </c>
      <c r="G154" s="22" t="n">
        <v>1.81</v>
      </c>
      <c r="H154" s="23" t="n">
        <v>11.385</v>
      </c>
      <c r="I154" s="23" t="n">
        <v>2.809</v>
      </c>
      <c r="J154" s="24" t="n">
        <v>14.688</v>
      </c>
      <c r="K154" s="24" t="n">
        <v>2.076</v>
      </c>
      <c r="L154" s="25" t="n">
        <v>100</v>
      </c>
      <c r="M154" s="25" t="n">
        <v>75</v>
      </c>
      <c r="N154" s="25" t="n">
        <v>815</v>
      </c>
      <c r="O154" s="26">
        <f>INDEX(Assumptions!$B$13:$B$15,MATCH(E154,Assumptions!$A$13:$A$15,0))</f>
        <v/>
      </c>
      <c r="P154" s="27">
        <f>NORMSINV(O154)</f>
        <v/>
      </c>
      <c r="Q154" s="28">
        <f>ROUNDUP(P154*SQRT(J154*I154^2+H154^2*K154^2),0)</f>
        <v/>
      </c>
      <c r="R154" s="28">
        <f>ROUNDUP(H154*J154+Q154,0)</f>
        <v/>
      </c>
      <c r="S154" s="28">
        <f>IF(H154&gt;0,ROUNDUP(SQRT(2*H154*365*Assumptions!$B$5/(Assumptions!$B$6*G154)),0),0)</f>
        <v/>
      </c>
      <c r="T154" s="28">
        <f>MAX(S154,L154)</f>
        <v/>
      </c>
      <c r="U154" s="28">
        <f>M154+N154</f>
        <v/>
      </c>
      <c r="V154" s="28">
        <f>IF(H154&gt;0,M154/H154,999)</f>
        <v/>
      </c>
      <c r="W154" s="28">
        <f>MAX(0,U154-MAX(R154+T154,H154*Assumptions!$B$10))</f>
        <v/>
      </c>
      <c r="X154" s="29">
        <f>W154*G154</f>
        <v/>
      </c>
      <c r="Y154" s="28">
        <f>IF(U154&lt;=R154,"REORDER NOW",IF(W154&gt;0,"EXCESS - pause orders / promote","OK"))</f>
        <v/>
      </c>
      <c r="Z154" s="28">
        <f>IF(Y154="REORDER NOW",T154,0)</f>
        <v/>
      </c>
    </row>
  </sheetData>
  <autoFilter ref="A4:Z154"/>
  <conditionalFormatting sqref="Y5:Y154">
    <cfRule type="expression" priority="1" dxfId="0">
      <formula>$Y5="REORDER NOW"</formula>
    </cfRule>
    <cfRule type="expression" priority="2" dxfId="1">
      <formula>LEFT($Y5,6)="EXCESS"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5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4" customWidth="1" min="4" max="4"/>
    <col width="12" customWidth="1" min="5" max="5"/>
    <col width="12" customWidth="1" min="6" max="6"/>
    <col width="12" customWidth="1" min="7" max="7"/>
    <col width="10" customWidth="1" min="8" max="8"/>
    <col width="8" customWidth="1" min="9" max="9"/>
    <col width="10" customWidth="1" min="10" max="10"/>
    <col width="8" customWidth="1" min="12" max="12"/>
    <col width="10" customWidth="1" min="13" max="13"/>
    <col width="11" customWidth="1" min="14" max="14"/>
    <col width="12" customWidth="1" min="15" max="15"/>
  </cols>
  <sheetData>
    <row r="1">
      <c r="A1" s="1" t="inlineStr">
        <is>
          <t>ABC-XYZ Classification</t>
        </is>
      </c>
    </row>
    <row r="2">
      <c r="A2" s="2" t="inlineStr">
        <is>
          <t>A = top 80% of revenue, B = next 15%, C = last 5%.  X/Y/Z = demand CV &lt;0.5 / 0.5-1.0 / &gt;1.0.</t>
        </is>
      </c>
    </row>
    <row r="4" ht="32" customHeight="1">
      <c r="A4" s="15" t="inlineStr">
        <is>
          <t>Product ID</t>
        </is>
      </c>
      <c r="B4" s="15" t="inlineStr">
        <is>
          <t>Product</t>
        </is>
      </c>
      <c r="C4" s="15" t="inlineStr">
        <is>
          <t>Category</t>
        </is>
      </c>
      <c r="D4" s="15" t="inlineStr">
        <is>
          <t>Revenue ($)</t>
        </is>
      </c>
      <c r="E4" s="15" t="inlineStr">
        <is>
          <t>Share of revenue</t>
        </is>
      </c>
      <c r="F4" s="15" t="inlineStr">
        <is>
          <t>Cumulative share</t>
        </is>
      </c>
      <c r="G4" s="15" t="inlineStr">
        <is>
          <t>ABC (formula)</t>
        </is>
      </c>
      <c r="H4" s="15" t="inlineStr">
        <is>
          <t>Demand CV</t>
        </is>
      </c>
      <c r="I4" s="15" t="inlineStr">
        <is>
          <t>XYZ</t>
        </is>
      </c>
      <c r="J4" s="15" t="inlineStr">
        <is>
          <t>ABC-XYZ</t>
        </is>
      </c>
      <c r="L4" s="30" t="inlineStr">
        <is>
          <t>Class</t>
        </is>
      </c>
      <c r="M4" s="30" t="inlineStr">
        <is>
          <t>Products</t>
        </is>
      </c>
      <c r="N4" s="30" t="inlineStr">
        <is>
          <t>% of SKUs</t>
        </is>
      </c>
      <c r="O4" s="30" t="inlineStr">
        <is>
          <t>% of revenue</t>
        </is>
      </c>
    </row>
    <row r="5">
      <c r="A5" s="5" t="inlineStr">
        <is>
          <t>P0001</t>
        </is>
      </c>
      <c r="B5" s="5" t="inlineStr">
        <is>
          <t>Electronics Item 001</t>
        </is>
      </c>
      <c r="C5" s="5" t="inlineStr">
        <is>
          <t>Electronics</t>
        </is>
      </c>
      <c r="D5" s="6" t="n">
        <v>2119523.35</v>
      </c>
      <c r="E5" s="26">
        <f>D5/SUM($D$5:$D$154)</f>
        <v/>
      </c>
      <c r="F5" s="26">
        <f>SUM($D$5:D5)/SUM($D$5:$D$154)</f>
        <v/>
      </c>
      <c r="G5" s="5">
        <f>IF(F5&lt;=0.8,"A",IF(F5&lt;=0.95,"B","C"))</f>
        <v/>
      </c>
      <c r="H5" s="23" t="n">
        <v>0.256</v>
      </c>
      <c r="I5" s="5" t="inlineStr">
        <is>
          <t>X</t>
        </is>
      </c>
      <c r="J5" s="5">
        <f>G5&amp;I5</f>
        <v/>
      </c>
      <c r="L5" s="16" t="inlineStr">
        <is>
          <t>A</t>
        </is>
      </c>
      <c r="M5" s="16">
        <f>COUNTIF($G$5:$G$154,L5)</f>
        <v/>
      </c>
      <c r="N5" s="21">
        <f>M5/COUNTA($A$5:$A$154)</f>
        <v/>
      </c>
      <c r="O5" s="21">
        <f>SUMIF($G$5:$G$154,L5,$D$5:$D$154)/SUM($D$5:$D$154)</f>
        <v/>
      </c>
    </row>
    <row r="6">
      <c r="A6" s="5" t="inlineStr">
        <is>
          <t>P0067</t>
        </is>
      </c>
      <c r="B6" s="5" t="inlineStr">
        <is>
          <t>Outdoor Item 067</t>
        </is>
      </c>
      <c r="C6" s="5" t="inlineStr">
        <is>
          <t>Outdoor &amp; Garden</t>
        </is>
      </c>
      <c r="D6" s="6" t="n">
        <v>1175448.15</v>
      </c>
      <c r="E6" s="26">
        <f>D6/SUM($D$5:$D$154)</f>
        <v/>
      </c>
      <c r="F6" s="26">
        <f>SUM($D$5:D6)/SUM($D$5:$D$154)</f>
        <v/>
      </c>
      <c r="G6" s="5">
        <f>IF(F6&lt;=0.8,"A",IF(F6&lt;=0.95,"B","C"))</f>
        <v/>
      </c>
      <c r="H6" s="23" t="n">
        <v>0.519</v>
      </c>
      <c r="I6" s="5" t="inlineStr">
        <is>
          <t>Y</t>
        </is>
      </c>
      <c r="J6" s="5">
        <f>G6&amp;I6</f>
        <v/>
      </c>
      <c r="L6" s="16" t="inlineStr">
        <is>
          <t>B</t>
        </is>
      </c>
      <c r="M6" s="16">
        <f>COUNTIF($G$5:$G$154,L6)</f>
        <v/>
      </c>
      <c r="N6" s="21">
        <f>M6/COUNTA($A$5:$A$154)</f>
        <v/>
      </c>
      <c r="O6" s="21">
        <f>SUMIF($G$5:$G$154,L6,$D$5:$D$154)/SUM($D$5:$D$154)</f>
        <v/>
      </c>
    </row>
    <row r="7">
      <c r="A7" s="5" t="inlineStr">
        <is>
          <t>P0019</t>
        </is>
      </c>
      <c r="B7" s="5" t="inlineStr">
        <is>
          <t>Electronics Item 019</t>
        </is>
      </c>
      <c r="C7" s="5" t="inlineStr">
        <is>
          <t>Electronics</t>
        </is>
      </c>
      <c r="D7" s="6" t="n">
        <v>1081617.4</v>
      </c>
      <c r="E7" s="26">
        <f>D7/SUM($D$5:$D$154)</f>
        <v/>
      </c>
      <c r="F7" s="26">
        <f>SUM($D$5:D7)/SUM($D$5:$D$154)</f>
        <v/>
      </c>
      <c r="G7" s="5">
        <f>IF(F7&lt;=0.8,"A",IF(F7&lt;=0.95,"B","C"))</f>
        <v/>
      </c>
      <c r="H7" s="23" t="n">
        <v>0.307</v>
      </c>
      <c r="I7" s="5" t="inlineStr">
        <is>
          <t>X</t>
        </is>
      </c>
      <c r="J7" s="5">
        <f>G7&amp;I7</f>
        <v/>
      </c>
      <c r="L7" s="16" t="inlineStr">
        <is>
          <t>C</t>
        </is>
      </c>
      <c r="M7" s="16">
        <f>COUNTIF($G$5:$G$154,L7)</f>
        <v/>
      </c>
      <c r="N7" s="21">
        <f>M7/COUNTA($A$5:$A$154)</f>
        <v/>
      </c>
      <c r="O7" s="21">
        <f>SUMIF($G$5:$G$154,L7,$D$5:$D$154)/SUM($D$5:$D$154)</f>
        <v/>
      </c>
    </row>
    <row r="8">
      <c r="A8" s="5" t="inlineStr">
        <is>
          <t>P0044</t>
        </is>
      </c>
      <c r="B8" s="5" t="inlineStr">
        <is>
          <t>Home Item 044</t>
        </is>
      </c>
      <c r="C8" s="5" t="inlineStr">
        <is>
          <t>Home &amp; Kitchen</t>
        </is>
      </c>
      <c r="D8" s="6" t="n">
        <v>1039405.14</v>
      </c>
      <c r="E8" s="26">
        <f>D8/SUM($D$5:$D$154)</f>
        <v/>
      </c>
      <c r="F8" s="26">
        <f>SUM($D$5:D8)/SUM($D$5:$D$154)</f>
        <v/>
      </c>
      <c r="G8" s="5">
        <f>IF(F8&lt;=0.8,"A",IF(F8&lt;=0.95,"B","C"))</f>
        <v/>
      </c>
      <c r="H8" s="23" t="n">
        <v>0.542</v>
      </c>
      <c r="I8" s="5" t="inlineStr">
        <is>
          <t>Y</t>
        </is>
      </c>
      <c r="J8" s="5">
        <f>G8&amp;I8</f>
        <v/>
      </c>
    </row>
    <row r="9">
      <c r="A9" s="5" t="inlineStr">
        <is>
          <t>P0006</t>
        </is>
      </c>
      <c r="B9" s="5" t="inlineStr">
        <is>
          <t>Electronics Item 006</t>
        </is>
      </c>
      <c r="C9" s="5" t="inlineStr">
        <is>
          <t>Electronics</t>
        </is>
      </c>
      <c r="D9" s="6" t="n">
        <v>929884.99</v>
      </c>
      <c r="E9" s="26">
        <f>D9/SUM($D$5:$D$154)</f>
        <v/>
      </c>
      <c r="F9" s="26">
        <f>SUM($D$5:D9)/SUM($D$5:$D$154)</f>
        <v/>
      </c>
      <c r="G9" s="5">
        <f>IF(F9&lt;=0.8,"A",IF(F9&lt;=0.95,"B","C"))</f>
        <v/>
      </c>
      <c r="H9" s="23" t="n">
        <v>0.294</v>
      </c>
      <c r="I9" s="5" t="inlineStr">
        <is>
          <t>X</t>
        </is>
      </c>
      <c r="J9" s="5">
        <f>G9&amp;I9</f>
        <v/>
      </c>
    </row>
    <row r="10">
      <c r="A10" s="5" t="inlineStr">
        <is>
          <t>P0012</t>
        </is>
      </c>
      <c r="B10" s="5" t="inlineStr">
        <is>
          <t>Electronics Item 012</t>
        </is>
      </c>
      <c r="C10" s="5" t="inlineStr">
        <is>
          <t>Electronics</t>
        </is>
      </c>
      <c r="D10" s="6" t="n">
        <v>697510.99</v>
      </c>
      <c r="E10" s="26">
        <f>D10/SUM($D$5:$D$154)</f>
        <v/>
      </c>
      <c r="F10" s="26">
        <f>SUM($D$5:D10)/SUM($D$5:$D$154)</f>
        <v/>
      </c>
      <c r="G10" s="5">
        <f>IF(F10&lt;=0.8,"A",IF(F10&lt;=0.95,"B","C"))</f>
        <v/>
      </c>
      <c r="H10" s="23" t="n">
        <v>0.335</v>
      </c>
      <c r="I10" s="5" t="inlineStr">
        <is>
          <t>X</t>
        </is>
      </c>
      <c r="J10" s="5">
        <f>G10&amp;I10</f>
        <v/>
      </c>
    </row>
    <row r="11">
      <c r="A11" s="5" t="inlineStr">
        <is>
          <t>P0018</t>
        </is>
      </c>
      <c r="B11" s="5" t="inlineStr">
        <is>
          <t>Electronics Item 018</t>
        </is>
      </c>
      <c r="C11" s="5" t="inlineStr">
        <is>
          <t>Electronics</t>
        </is>
      </c>
      <c r="D11" s="6" t="n">
        <v>661094.8100000001</v>
      </c>
      <c r="E11" s="26">
        <f>D11/SUM($D$5:$D$154)</f>
        <v/>
      </c>
      <c r="F11" s="26">
        <f>SUM($D$5:D11)/SUM($D$5:$D$154)</f>
        <v/>
      </c>
      <c r="G11" s="5">
        <f>IF(F11&lt;=0.8,"A",IF(F11&lt;=0.95,"B","C"))</f>
        <v/>
      </c>
      <c r="H11" s="23" t="n">
        <v>0.278</v>
      </c>
      <c r="I11" s="5" t="inlineStr">
        <is>
          <t>X</t>
        </is>
      </c>
      <c r="J11" s="5">
        <f>G11&amp;I11</f>
        <v/>
      </c>
    </row>
    <row r="12">
      <c r="A12" s="5" t="inlineStr">
        <is>
          <t>P0003</t>
        </is>
      </c>
      <c r="B12" s="5" t="inlineStr">
        <is>
          <t>Electronics Item 003</t>
        </is>
      </c>
      <c r="C12" s="5" t="inlineStr">
        <is>
          <t>Electronics</t>
        </is>
      </c>
      <c r="D12" s="6" t="n">
        <v>629992</v>
      </c>
      <c r="E12" s="26">
        <f>D12/SUM($D$5:$D$154)</f>
        <v/>
      </c>
      <c r="F12" s="26">
        <f>SUM($D$5:D12)/SUM($D$5:$D$154)</f>
        <v/>
      </c>
      <c r="G12" s="5">
        <f>IF(F12&lt;=0.8,"A",IF(F12&lt;=0.95,"B","C"))</f>
        <v/>
      </c>
      <c r="H12" s="23" t="n">
        <v>0.28</v>
      </c>
      <c r="I12" s="5" t="inlineStr">
        <is>
          <t>X</t>
        </is>
      </c>
      <c r="J12" s="5">
        <f>G12&amp;I12</f>
        <v/>
      </c>
    </row>
    <row r="13">
      <c r="A13" s="5" t="inlineStr">
        <is>
          <t>P0064</t>
        </is>
      </c>
      <c r="B13" s="5" t="inlineStr">
        <is>
          <t>Outdoor Item 064</t>
        </is>
      </c>
      <c r="C13" s="5" t="inlineStr">
        <is>
          <t>Outdoor &amp; Garden</t>
        </is>
      </c>
      <c r="D13" s="6" t="n">
        <v>599322.71</v>
      </c>
      <c r="E13" s="26">
        <f>D13/SUM($D$5:$D$154)</f>
        <v/>
      </c>
      <c r="F13" s="26">
        <f>SUM($D$5:D13)/SUM($D$5:$D$154)</f>
        <v/>
      </c>
      <c r="G13" s="5">
        <f>IF(F13&lt;=0.8,"A",IF(F13&lt;=0.95,"B","C"))</f>
        <v/>
      </c>
      <c r="H13" s="23" t="n">
        <v>0.43</v>
      </c>
      <c r="I13" s="5" t="inlineStr">
        <is>
          <t>X</t>
        </is>
      </c>
      <c r="J13" s="5">
        <f>G13&amp;I13</f>
        <v/>
      </c>
    </row>
    <row r="14">
      <c r="A14" s="5" t="inlineStr">
        <is>
          <t>P0054</t>
        </is>
      </c>
      <c r="B14" s="5" t="inlineStr">
        <is>
          <t>Home Item 054</t>
        </is>
      </c>
      <c r="C14" s="5" t="inlineStr">
        <is>
          <t>Home &amp; Kitchen</t>
        </is>
      </c>
      <c r="D14" s="6" t="n">
        <v>595993.4399999999</v>
      </c>
      <c r="E14" s="26">
        <f>D14/SUM($D$5:$D$154)</f>
        <v/>
      </c>
      <c r="F14" s="26">
        <f>SUM($D$5:D14)/SUM($D$5:$D$154)</f>
        <v/>
      </c>
      <c r="G14" s="5">
        <f>IF(F14&lt;=0.8,"A",IF(F14&lt;=0.95,"B","C"))</f>
        <v/>
      </c>
      <c r="H14" s="23" t="n">
        <v>0.279</v>
      </c>
      <c r="I14" s="5" t="inlineStr">
        <is>
          <t>X</t>
        </is>
      </c>
      <c r="J14" s="5">
        <f>G14&amp;I14</f>
        <v/>
      </c>
    </row>
    <row r="15">
      <c r="A15" s="5" t="inlineStr">
        <is>
          <t>P0013</t>
        </is>
      </c>
      <c r="B15" s="5" t="inlineStr">
        <is>
          <t>Electronics Item 013</t>
        </is>
      </c>
      <c r="C15" s="5" t="inlineStr">
        <is>
          <t>Electronics</t>
        </is>
      </c>
      <c r="D15" s="6" t="n">
        <v>572261.65</v>
      </c>
      <c r="E15" s="26">
        <f>D15/SUM($D$5:$D$154)</f>
        <v/>
      </c>
      <c r="F15" s="26">
        <f>SUM($D$5:D15)/SUM($D$5:$D$154)</f>
        <v/>
      </c>
      <c r="G15" s="5">
        <f>IF(F15&lt;=0.8,"A",IF(F15&lt;=0.95,"B","C"))</f>
        <v/>
      </c>
      <c r="H15" s="23" t="n">
        <v>0.296</v>
      </c>
      <c r="I15" s="5" t="inlineStr">
        <is>
          <t>X</t>
        </is>
      </c>
      <c r="J15" s="5">
        <f>G15&amp;I15</f>
        <v/>
      </c>
    </row>
    <row r="16">
      <c r="A16" s="5" t="inlineStr">
        <is>
          <t>P0060</t>
        </is>
      </c>
      <c r="B16" s="5" t="inlineStr">
        <is>
          <t>Outdoor Item 060</t>
        </is>
      </c>
      <c r="C16" s="5" t="inlineStr">
        <is>
          <t>Outdoor &amp; Garden</t>
        </is>
      </c>
      <c r="D16" s="6" t="n">
        <v>527769.39</v>
      </c>
      <c r="E16" s="26">
        <f>D16/SUM($D$5:$D$154)</f>
        <v/>
      </c>
      <c r="F16" s="26">
        <f>SUM($D$5:D16)/SUM($D$5:$D$154)</f>
        <v/>
      </c>
      <c r="G16" s="5">
        <f>IF(F16&lt;=0.8,"A",IF(F16&lt;=0.95,"B","C"))</f>
        <v/>
      </c>
      <c r="H16" s="23" t="n">
        <v>0.673</v>
      </c>
      <c r="I16" s="5" t="inlineStr">
        <is>
          <t>Y</t>
        </is>
      </c>
      <c r="J16" s="5">
        <f>G16&amp;I16</f>
        <v/>
      </c>
    </row>
    <row r="17">
      <c r="A17" s="5" t="inlineStr">
        <is>
          <t>P0022</t>
        </is>
      </c>
      <c r="B17" s="5" t="inlineStr">
        <is>
          <t>Electronics Item 022</t>
        </is>
      </c>
      <c r="C17" s="5" t="inlineStr">
        <is>
          <t>Electronics</t>
        </is>
      </c>
      <c r="D17" s="6" t="n">
        <v>483240.74</v>
      </c>
      <c r="E17" s="26">
        <f>D17/SUM($D$5:$D$154)</f>
        <v/>
      </c>
      <c r="F17" s="26">
        <f>SUM($D$5:D17)/SUM($D$5:$D$154)</f>
        <v/>
      </c>
      <c r="G17" s="5">
        <f>IF(F17&lt;=0.8,"A",IF(F17&lt;=0.95,"B","C"))</f>
        <v/>
      </c>
      <c r="H17" s="23" t="n">
        <v>0.287</v>
      </c>
      <c r="I17" s="5" t="inlineStr">
        <is>
          <t>X</t>
        </is>
      </c>
      <c r="J17" s="5">
        <f>G17&amp;I17</f>
        <v/>
      </c>
    </row>
    <row r="18">
      <c r="A18" s="5" t="inlineStr">
        <is>
          <t>P0056</t>
        </is>
      </c>
      <c r="B18" s="5" t="inlineStr">
        <is>
          <t>Outdoor Item 056</t>
        </is>
      </c>
      <c r="C18" s="5" t="inlineStr">
        <is>
          <t>Outdoor &amp; Garden</t>
        </is>
      </c>
      <c r="D18" s="6" t="n">
        <v>426060.76</v>
      </c>
      <c r="E18" s="26">
        <f>D18/SUM($D$5:$D$154)</f>
        <v/>
      </c>
      <c r="F18" s="26">
        <f>SUM($D$5:D18)/SUM($D$5:$D$154)</f>
        <v/>
      </c>
      <c r="G18" s="5">
        <f>IF(F18&lt;=0.8,"A",IF(F18&lt;=0.95,"B","C"))</f>
        <v/>
      </c>
      <c r="H18" s="23" t="n">
        <v>0.395</v>
      </c>
      <c r="I18" s="5" t="inlineStr">
        <is>
          <t>X</t>
        </is>
      </c>
      <c r="J18" s="5">
        <f>G18&amp;I18</f>
        <v/>
      </c>
    </row>
    <row r="19">
      <c r="A19" s="5" t="inlineStr">
        <is>
          <t>P0070</t>
        </is>
      </c>
      <c r="B19" s="5" t="inlineStr">
        <is>
          <t>Outdoor Item 070</t>
        </is>
      </c>
      <c r="C19" s="5" t="inlineStr">
        <is>
          <t>Outdoor &amp; Garden</t>
        </is>
      </c>
      <c r="D19" s="6" t="n">
        <v>420226.79</v>
      </c>
      <c r="E19" s="26">
        <f>D19/SUM($D$5:$D$154)</f>
        <v/>
      </c>
      <c r="F19" s="26">
        <f>SUM($D$5:D19)/SUM($D$5:$D$154)</f>
        <v/>
      </c>
      <c r="G19" s="5">
        <f>IF(F19&lt;=0.8,"A",IF(F19&lt;=0.95,"B","C"))</f>
        <v/>
      </c>
      <c r="H19" s="23" t="n">
        <v>0.399</v>
      </c>
      <c r="I19" s="5" t="inlineStr">
        <is>
          <t>X</t>
        </is>
      </c>
      <c r="J19" s="5">
        <f>G19&amp;I19</f>
        <v/>
      </c>
    </row>
    <row r="20">
      <c r="A20" s="5" t="inlineStr">
        <is>
          <t>P0123</t>
        </is>
      </c>
      <c r="B20" s="5" t="inlineStr">
        <is>
          <t>Health Item 123</t>
        </is>
      </c>
      <c r="C20" s="5" t="inlineStr">
        <is>
          <t>Health &amp; Safety</t>
        </is>
      </c>
      <c r="D20" s="6" t="n">
        <v>395381.81</v>
      </c>
      <c r="E20" s="26">
        <f>D20/SUM($D$5:$D$154)</f>
        <v/>
      </c>
      <c r="F20" s="26">
        <f>SUM($D$5:D20)/SUM($D$5:$D$154)</f>
        <v/>
      </c>
      <c r="G20" s="5">
        <f>IF(F20&lt;=0.8,"A",IF(F20&lt;=0.95,"B","C"))</f>
        <v/>
      </c>
      <c r="H20" s="23" t="n">
        <v>0.348</v>
      </c>
      <c r="I20" s="5" t="inlineStr">
        <is>
          <t>X</t>
        </is>
      </c>
      <c r="J20" s="5">
        <f>G20&amp;I20</f>
        <v/>
      </c>
    </row>
    <row r="21">
      <c r="A21" s="5" t="inlineStr">
        <is>
          <t>P0023</t>
        </is>
      </c>
      <c r="B21" s="5" t="inlineStr">
        <is>
          <t>Electronics Item 023</t>
        </is>
      </c>
      <c r="C21" s="5" t="inlineStr">
        <is>
          <t>Electronics</t>
        </is>
      </c>
      <c r="D21" s="6" t="n">
        <v>365189.16</v>
      </c>
      <c r="E21" s="26">
        <f>D21/SUM($D$5:$D$154)</f>
        <v/>
      </c>
      <c r="F21" s="26">
        <f>SUM($D$5:D21)/SUM($D$5:$D$154)</f>
        <v/>
      </c>
      <c r="G21" s="5">
        <f>IF(F21&lt;=0.8,"A",IF(F21&lt;=0.95,"B","C"))</f>
        <v/>
      </c>
      <c r="H21" s="23" t="n">
        <v>0.352</v>
      </c>
      <c r="I21" s="5" t="inlineStr">
        <is>
          <t>X</t>
        </is>
      </c>
      <c r="J21" s="5">
        <f>G21&amp;I21</f>
        <v/>
      </c>
    </row>
    <row r="22">
      <c r="A22" s="5" t="inlineStr">
        <is>
          <t>P0004</t>
        </is>
      </c>
      <c r="B22" s="5" t="inlineStr">
        <is>
          <t>Electronics Item 004</t>
        </is>
      </c>
      <c r="C22" s="5" t="inlineStr">
        <is>
          <t>Electronics</t>
        </is>
      </c>
      <c r="D22" s="6" t="n">
        <v>327420.43</v>
      </c>
      <c r="E22" s="26">
        <f>D22/SUM($D$5:$D$154)</f>
        <v/>
      </c>
      <c r="F22" s="26">
        <f>SUM($D$5:D22)/SUM($D$5:$D$154)</f>
        <v/>
      </c>
      <c r="G22" s="5">
        <f>IF(F22&lt;=0.8,"A",IF(F22&lt;=0.95,"B","C"))</f>
        <v/>
      </c>
      <c r="H22" s="23" t="n">
        <v>0.381</v>
      </c>
      <c r="I22" s="5" t="inlineStr">
        <is>
          <t>X</t>
        </is>
      </c>
      <c r="J22" s="5">
        <f>G22&amp;I22</f>
        <v/>
      </c>
    </row>
    <row r="23">
      <c r="A23" s="5" t="inlineStr">
        <is>
          <t>P0007</t>
        </is>
      </c>
      <c r="B23" s="5" t="inlineStr">
        <is>
          <t>Electronics Item 007</t>
        </is>
      </c>
      <c r="C23" s="5" t="inlineStr">
        <is>
          <t>Electronics</t>
        </is>
      </c>
      <c r="D23" s="6" t="n">
        <v>313323.99</v>
      </c>
      <c r="E23" s="26">
        <f>D23/SUM($D$5:$D$154)</f>
        <v/>
      </c>
      <c r="F23" s="26">
        <f>SUM($D$5:D23)/SUM($D$5:$D$154)</f>
        <v/>
      </c>
      <c r="G23" s="5">
        <f>IF(F23&lt;=0.8,"A",IF(F23&lt;=0.95,"B","C"))</f>
        <v/>
      </c>
      <c r="H23" s="23" t="n">
        <v>0.32</v>
      </c>
      <c r="I23" s="5" t="inlineStr">
        <is>
          <t>X</t>
        </is>
      </c>
      <c r="J23" s="5">
        <f>G23&amp;I23</f>
        <v/>
      </c>
    </row>
    <row r="24">
      <c r="A24" s="5" t="inlineStr">
        <is>
          <t>P0021</t>
        </is>
      </c>
      <c r="B24" s="5" t="inlineStr">
        <is>
          <t>Electronics Item 021</t>
        </is>
      </c>
      <c r="C24" s="5" t="inlineStr">
        <is>
          <t>Electronics</t>
        </is>
      </c>
      <c r="D24" s="6" t="n">
        <v>295686.24</v>
      </c>
      <c r="E24" s="26">
        <f>D24/SUM($D$5:$D$154)</f>
        <v/>
      </c>
      <c r="F24" s="26">
        <f>SUM($D$5:D24)/SUM($D$5:$D$154)</f>
        <v/>
      </c>
      <c r="G24" s="5">
        <f>IF(F24&lt;=0.8,"A",IF(F24&lt;=0.95,"B","C"))</f>
        <v/>
      </c>
      <c r="H24" s="23" t="n">
        <v>0.547</v>
      </c>
      <c r="I24" s="5" t="inlineStr">
        <is>
          <t>Y</t>
        </is>
      </c>
      <c r="J24" s="5">
        <f>G24&amp;I24</f>
        <v/>
      </c>
    </row>
    <row r="25">
      <c r="A25" s="5" t="inlineStr">
        <is>
          <t>P0016</t>
        </is>
      </c>
      <c r="B25" s="5" t="inlineStr">
        <is>
          <t>Electronics Item 016</t>
        </is>
      </c>
      <c r="C25" s="5" t="inlineStr">
        <is>
          <t>Electronics</t>
        </is>
      </c>
      <c r="D25" s="6" t="n">
        <v>261851.58</v>
      </c>
      <c r="E25" s="26">
        <f>D25/SUM($D$5:$D$154)</f>
        <v/>
      </c>
      <c r="F25" s="26">
        <f>SUM($D$5:D25)/SUM($D$5:$D$154)</f>
        <v/>
      </c>
      <c r="G25" s="5">
        <f>IF(F25&lt;=0.8,"A",IF(F25&lt;=0.95,"B","C"))</f>
        <v/>
      </c>
      <c r="H25" s="23" t="n">
        <v>0.328</v>
      </c>
      <c r="I25" s="5" t="inlineStr">
        <is>
          <t>X</t>
        </is>
      </c>
      <c r="J25" s="5">
        <f>G25&amp;I25</f>
        <v/>
      </c>
    </row>
    <row r="26">
      <c r="A26" s="5" t="inlineStr">
        <is>
          <t>P0116</t>
        </is>
      </c>
      <c r="B26" s="5" t="inlineStr">
        <is>
          <t>Health Item 116</t>
        </is>
      </c>
      <c r="C26" s="5" t="inlineStr">
        <is>
          <t>Health &amp; Safety</t>
        </is>
      </c>
      <c r="D26" s="6" t="n">
        <v>253209.34</v>
      </c>
      <c r="E26" s="26">
        <f>D26/SUM($D$5:$D$154)</f>
        <v/>
      </c>
      <c r="F26" s="26">
        <f>SUM($D$5:D26)/SUM($D$5:$D$154)</f>
        <v/>
      </c>
      <c r="G26" s="5">
        <f>IF(F26&lt;=0.8,"A",IF(F26&lt;=0.95,"B","C"))</f>
        <v/>
      </c>
      <c r="H26" s="23" t="n">
        <v>0.344</v>
      </c>
      <c r="I26" s="5" t="inlineStr">
        <is>
          <t>X</t>
        </is>
      </c>
      <c r="J26" s="5">
        <f>G26&amp;I26</f>
        <v/>
      </c>
    </row>
    <row r="27">
      <c r="A27" s="5" t="inlineStr">
        <is>
          <t>P0052</t>
        </is>
      </c>
      <c r="B27" s="5" t="inlineStr">
        <is>
          <t>Home Item 052</t>
        </is>
      </c>
      <c r="C27" s="5" t="inlineStr">
        <is>
          <t>Home &amp; Kitchen</t>
        </is>
      </c>
      <c r="D27" s="6" t="n">
        <v>238639.54</v>
      </c>
      <c r="E27" s="26">
        <f>D27/SUM($D$5:$D$154)</f>
        <v/>
      </c>
      <c r="F27" s="26">
        <f>SUM($D$5:D27)/SUM($D$5:$D$154)</f>
        <v/>
      </c>
      <c r="G27" s="5">
        <f>IF(F27&lt;=0.8,"A",IF(F27&lt;=0.95,"B","C"))</f>
        <v/>
      </c>
      <c r="H27" s="23" t="n">
        <v>0.325</v>
      </c>
      <c r="I27" s="5" t="inlineStr">
        <is>
          <t>X</t>
        </is>
      </c>
      <c r="J27" s="5">
        <f>G27&amp;I27</f>
        <v/>
      </c>
    </row>
    <row r="28">
      <c r="A28" s="5" t="inlineStr">
        <is>
          <t>P0020</t>
        </is>
      </c>
      <c r="B28" s="5" t="inlineStr">
        <is>
          <t>Electronics Item 020</t>
        </is>
      </c>
      <c r="C28" s="5" t="inlineStr">
        <is>
          <t>Electronics</t>
        </is>
      </c>
      <c r="D28" s="6" t="n">
        <v>233309.02</v>
      </c>
      <c r="E28" s="26">
        <f>D28/SUM($D$5:$D$154)</f>
        <v/>
      </c>
      <c r="F28" s="26">
        <f>SUM($D$5:D28)/SUM($D$5:$D$154)</f>
        <v/>
      </c>
      <c r="G28" s="5">
        <f>IF(F28&lt;=0.8,"A",IF(F28&lt;=0.95,"B","C"))</f>
        <v/>
      </c>
      <c r="H28" s="23" t="n">
        <v>0.462</v>
      </c>
      <c r="I28" s="5" t="inlineStr">
        <is>
          <t>X</t>
        </is>
      </c>
      <c r="J28" s="5">
        <f>G28&amp;I28</f>
        <v/>
      </c>
    </row>
    <row r="29">
      <c r="A29" s="5" t="inlineStr">
        <is>
          <t>P0069</t>
        </is>
      </c>
      <c r="B29" s="5" t="inlineStr">
        <is>
          <t>Outdoor Item 069</t>
        </is>
      </c>
      <c r="C29" s="5" t="inlineStr">
        <is>
          <t>Outdoor &amp; Garden</t>
        </is>
      </c>
      <c r="D29" s="6" t="n">
        <v>208617.9</v>
      </c>
      <c r="E29" s="26">
        <f>D29/SUM($D$5:$D$154)</f>
        <v/>
      </c>
      <c r="F29" s="26">
        <f>SUM($D$5:D29)/SUM($D$5:$D$154)</f>
        <v/>
      </c>
      <c r="G29" s="5">
        <f>IF(F29&lt;=0.8,"A",IF(F29&lt;=0.95,"B","C"))</f>
        <v/>
      </c>
      <c r="H29" s="23" t="n">
        <v>0.492</v>
      </c>
      <c r="I29" s="5" t="inlineStr">
        <is>
          <t>X</t>
        </is>
      </c>
      <c r="J29" s="5">
        <f>G29&amp;I29</f>
        <v/>
      </c>
    </row>
    <row r="30">
      <c r="A30" s="5" t="inlineStr">
        <is>
          <t>P0025</t>
        </is>
      </c>
      <c r="B30" s="5" t="inlineStr">
        <is>
          <t>Electronics Item 025</t>
        </is>
      </c>
      <c r="C30" s="5" t="inlineStr">
        <is>
          <t>Electronics</t>
        </is>
      </c>
      <c r="D30" s="6" t="n">
        <v>206963.5</v>
      </c>
      <c r="E30" s="26">
        <f>D30/SUM($D$5:$D$154)</f>
        <v/>
      </c>
      <c r="F30" s="26">
        <f>SUM($D$5:D30)/SUM($D$5:$D$154)</f>
        <v/>
      </c>
      <c r="G30" s="5">
        <f>IF(F30&lt;=0.8,"A",IF(F30&lt;=0.95,"B","C"))</f>
        <v/>
      </c>
      <c r="H30" s="23" t="n">
        <v>0.315</v>
      </c>
      <c r="I30" s="5" t="inlineStr">
        <is>
          <t>X</t>
        </is>
      </c>
      <c r="J30" s="5">
        <f>G30&amp;I30</f>
        <v/>
      </c>
    </row>
    <row r="31">
      <c r="A31" s="5" t="inlineStr">
        <is>
          <t>P0085</t>
        </is>
      </c>
      <c r="B31" s="5" t="inlineStr">
        <is>
          <t>Office Item 085</t>
        </is>
      </c>
      <c r="C31" s="5" t="inlineStr">
        <is>
          <t>Office Supplies</t>
        </is>
      </c>
      <c r="D31" s="6" t="n">
        <v>191699.82</v>
      </c>
      <c r="E31" s="26">
        <f>D31/SUM($D$5:$D$154)</f>
        <v/>
      </c>
      <c r="F31" s="26">
        <f>SUM($D$5:D31)/SUM($D$5:$D$154)</f>
        <v/>
      </c>
      <c r="G31" s="5">
        <f>IF(F31&lt;=0.8,"A",IF(F31&lt;=0.95,"B","C"))</f>
        <v/>
      </c>
      <c r="H31" s="23" t="n">
        <v>0.265</v>
      </c>
      <c r="I31" s="5" t="inlineStr">
        <is>
          <t>X</t>
        </is>
      </c>
      <c r="J31" s="5">
        <f>G31&amp;I31</f>
        <v/>
      </c>
    </row>
    <row r="32">
      <c r="A32" s="5" t="inlineStr">
        <is>
          <t>P0111</t>
        </is>
      </c>
      <c r="B32" s="5" t="inlineStr">
        <is>
          <t>Health Item 111</t>
        </is>
      </c>
      <c r="C32" s="5" t="inlineStr">
        <is>
          <t>Health &amp; Safety</t>
        </is>
      </c>
      <c r="D32" s="6" t="n">
        <v>186135.91</v>
      </c>
      <c r="E32" s="26">
        <f>D32/SUM($D$5:$D$154)</f>
        <v/>
      </c>
      <c r="F32" s="26">
        <f>SUM($D$5:D32)/SUM($D$5:$D$154)</f>
        <v/>
      </c>
      <c r="G32" s="5">
        <f>IF(F32&lt;=0.8,"A",IF(F32&lt;=0.95,"B","C"))</f>
        <v/>
      </c>
      <c r="H32" s="23" t="n">
        <v>0.383</v>
      </c>
      <c r="I32" s="5" t="inlineStr">
        <is>
          <t>X</t>
        </is>
      </c>
      <c r="J32" s="5">
        <f>G32&amp;I32</f>
        <v/>
      </c>
    </row>
    <row r="33">
      <c r="A33" s="5" t="inlineStr">
        <is>
          <t>P0141</t>
        </is>
      </c>
      <c r="B33" s="5" t="inlineStr">
        <is>
          <t>Packaging Item 141</t>
        </is>
      </c>
      <c r="C33" s="5" t="inlineStr">
        <is>
          <t>Packaging</t>
        </is>
      </c>
      <c r="D33" s="6" t="n">
        <v>184911.4</v>
      </c>
      <c r="E33" s="26">
        <f>D33/SUM($D$5:$D$154)</f>
        <v/>
      </c>
      <c r="F33" s="26">
        <f>SUM($D$5:D33)/SUM($D$5:$D$154)</f>
        <v/>
      </c>
      <c r="G33" s="5">
        <f>IF(F33&lt;=0.8,"A",IF(F33&lt;=0.95,"B","C"))</f>
        <v/>
      </c>
      <c r="H33" s="23" t="n">
        <v>0.092</v>
      </c>
      <c r="I33" s="5" t="inlineStr">
        <is>
          <t>X</t>
        </is>
      </c>
      <c r="J33" s="5">
        <f>G33&amp;I33</f>
        <v/>
      </c>
    </row>
    <row r="34">
      <c r="A34" s="5" t="inlineStr">
        <is>
          <t>P0073</t>
        </is>
      </c>
      <c r="B34" s="5" t="inlineStr">
        <is>
          <t>Outdoor Item 073</t>
        </is>
      </c>
      <c r="C34" s="5" t="inlineStr">
        <is>
          <t>Outdoor &amp; Garden</t>
        </is>
      </c>
      <c r="D34" s="6" t="n">
        <v>183074.77</v>
      </c>
      <c r="E34" s="26">
        <f>D34/SUM($D$5:$D$154)</f>
        <v/>
      </c>
      <c r="F34" s="26">
        <f>SUM($D$5:D34)/SUM($D$5:$D$154)</f>
        <v/>
      </c>
      <c r="G34" s="5">
        <f>IF(F34&lt;=0.8,"A",IF(F34&lt;=0.95,"B","C"))</f>
        <v/>
      </c>
      <c r="H34" s="23" t="n">
        <v>0.506</v>
      </c>
      <c r="I34" s="5" t="inlineStr">
        <is>
          <t>Y</t>
        </is>
      </c>
      <c r="J34" s="5">
        <f>G34&amp;I34</f>
        <v/>
      </c>
    </row>
    <row r="35">
      <c r="A35" s="5" t="inlineStr">
        <is>
          <t>P0034</t>
        </is>
      </c>
      <c r="B35" s="5" t="inlineStr">
        <is>
          <t>Home Item 034</t>
        </is>
      </c>
      <c r="C35" s="5" t="inlineStr">
        <is>
          <t>Home &amp; Kitchen</t>
        </is>
      </c>
      <c r="D35" s="6" t="n">
        <v>182854.07</v>
      </c>
      <c r="E35" s="26">
        <f>D35/SUM($D$5:$D$154)</f>
        <v/>
      </c>
      <c r="F35" s="26">
        <f>SUM($D$5:D35)/SUM($D$5:$D$154)</f>
        <v/>
      </c>
      <c r="G35" s="5">
        <f>IF(F35&lt;=0.8,"A",IF(F35&lt;=0.95,"B","C"))</f>
        <v/>
      </c>
      <c r="H35" s="23" t="n">
        <v>0.327</v>
      </c>
      <c r="I35" s="5" t="inlineStr">
        <is>
          <t>X</t>
        </is>
      </c>
      <c r="J35" s="5">
        <f>G35&amp;I35</f>
        <v/>
      </c>
    </row>
    <row r="36">
      <c r="A36" s="5" t="inlineStr">
        <is>
          <t>P0002</t>
        </is>
      </c>
      <c r="B36" s="5" t="inlineStr">
        <is>
          <t>Electronics Item 002</t>
        </is>
      </c>
      <c r="C36" s="5" t="inlineStr">
        <is>
          <t>Electronics</t>
        </is>
      </c>
      <c r="D36" s="6" t="n">
        <v>175109.85</v>
      </c>
      <c r="E36" s="26">
        <f>D36/SUM($D$5:$D$154)</f>
        <v/>
      </c>
      <c r="F36" s="26">
        <f>SUM($D$5:D36)/SUM($D$5:$D$154)</f>
        <v/>
      </c>
      <c r="G36" s="5">
        <f>IF(F36&lt;=0.8,"A",IF(F36&lt;=0.95,"B","C"))</f>
        <v/>
      </c>
      <c r="H36" s="23" t="n">
        <v>0.321</v>
      </c>
      <c r="I36" s="5" t="inlineStr">
        <is>
          <t>X</t>
        </is>
      </c>
      <c r="J36" s="5">
        <f>G36&amp;I36</f>
        <v/>
      </c>
    </row>
    <row r="37">
      <c r="A37" s="5" t="inlineStr">
        <is>
          <t>P0144</t>
        </is>
      </c>
      <c r="B37" s="5" t="inlineStr">
        <is>
          <t>Packaging Item 144</t>
        </is>
      </c>
      <c r="C37" s="5" t="inlineStr">
        <is>
          <t>Packaging</t>
        </is>
      </c>
      <c r="D37" s="6" t="n">
        <v>170583.76</v>
      </c>
      <c r="E37" s="26">
        <f>D37/SUM($D$5:$D$154)</f>
        <v/>
      </c>
      <c r="F37" s="26">
        <f>SUM($D$5:D37)/SUM($D$5:$D$154)</f>
        <v/>
      </c>
      <c r="G37" s="5">
        <f>IF(F37&lt;=0.8,"A",IF(F37&lt;=0.95,"B","C"))</f>
        <v/>
      </c>
      <c r="H37" s="23" t="n">
        <v>0.07099999999999999</v>
      </c>
      <c r="I37" s="5" t="inlineStr">
        <is>
          <t>X</t>
        </is>
      </c>
      <c r="J37" s="5">
        <f>G37&amp;I37</f>
        <v/>
      </c>
    </row>
    <row r="38">
      <c r="A38" s="5" t="inlineStr">
        <is>
          <t>P0126</t>
        </is>
      </c>
      <c r="B38" s="5" t="inlineStr">
        <is>
          <t>Health Item 126</t>
        </is>
      </c>
      <c r="C38" s="5" t="inlineStr">
        <is>
          <t>Health &amp; Safety</t>
        </is>
      </c>
      <c r="D38" s="6" t="n">
        <v>167062.93</v>
      </c>
      <c r="E38" s="26">
        <f>D38/SUM($D$5:$D$154)</f>
        <v/>
      </c>
      <c r="F38" s="26">
        <f>SUM($D$5:D38)/SUM($D$5:$D$154)</f>
        <v/>
      </c>
      <c r="G38" s="5">
        <f>IF(F38&lt;=0.8,"A",IF(F38&lt;=0.95,"B","C"))</f>
        <v/>
      </c>
      <c r="H38" s="23" t="n">
        <v>0.387</v>
      </c>
      <c r="I38" s="5" t="inlineStr">
        <is>
          <t>X</t>
        </is>
      </c>
      <c r="J38" s="5">
        <f>G38&amp;I38</f>
        <v/>
      </c>
    </row>
    <row r="39">
      <c r="A39" s="5" t="inlineStr">
        <is>
          <t>P0041</t>
        </is>
      </c>
      <c r="B39" s="5" t="inlineStr">
        <is>
          <t>Home Item 041</t>
        </is>
      </c>
      <c r="C39" s="5" t="inlineStr">
        <is>
          <t>Home &amp; Kitchen</t>
        </is>
      </c>
      <c r="D39" s="6" t="n">
        <v>156736.22</v>
      </c>
      <c r="E39" s="26">
        <f>D39/SUM($D$5:$D$154)</f>
        <v/>
      </c>
      <c r="F39" s="26">
        <f>SUM($D$5:D39)/SUM($D$5:$D$154)</f>
        <v/>
      </c>
      <c r="G39" s="5">
        <f>IF(F39&lt;=0.8,"A",IF(F39&lt;=0.95,"B","C"))</f>
        <v/>
      </c>
      <c r="H39" s="23" t="n">
        <v>0.285</v>
      </c>
      <c r="I39" s="5" t="inlineStr">
        <is>
          <t>X</t>
        </is>
      </c>
      <c r="J39" s="5">
        <f>G39&amp;I39</f>
        <v/>
      </c>
    </row>
    <row r="40">
      <c r="A40" s="5" t="inlineStr">
        <is>
          <t>P0066</t>
        </is>
      </c>
      <c r="B40" s="5" t="inlineStr">
        <is>
          <t>Outdoor Item 066</t>
        </is>
      </c>
      <c r="C40" s="5" t="inlineStr">
        <is>
          <t>Outdoor &amp; Garden</t>
        </is>
      </c>
      <c r="D40" s="6" t="n">
        <v>132081.5</v>
      </c>
      <c r="E40" s="26">
        <f>D40/SUM($D$5:$D$154)</f>
        <v/>
      </c>
      <c r="F40" s="26">
        <f>SUM($D$5:D40)/SUM($D$5:$D$154)</f>
        <v/>
      </c>
      <c r="G40" s="5">
        <f>IF(F40&lt;=0.8,"A",IF(F40&lt;=0.95,"B","C"))</f>
        <v/>
      </c>
      <c r="H40" s="23" t="n">
        <v>0.417</v>
      </c>
      <c r="I40" s="5" t="inlineStr">
        <is>
          <t>X</t>
        </is>
      </c>
      <c r="J40" s="5">
        <f>G40&amp;I40</f>
        <v/>
      </c>
    </row>
    <row r="41">
      <c r="A41" s="5" t="inlineStr">
        <is>
          <t>P0128</t>
        </is>
      </c>
      <c r="B41" s="5" t="inlineStr">
        <is>
          <t>Health Item 128</t>
        </is>
      </c>
      <c r="C41" s="5" t="inlineStr">
        <is>
          <t>Health &amp; Safety</t>
        </is>
      </c>
      <c r="D41" s="6" t="n">
        <v>124587.87</v>
      </c>
      <c r="E41" s="26">
        <f>D41/SUM($D$5:$D$154)</f>
        <v/>
      </c>
      <c r="F41" s="26">
        <f>SUM($D$5:D41)/SUM($D$5:$D$154)</f>
        <v/>
      </c>
      <c r="G41" s="5">
        <f>IF(F41&lt;=0.8,"A",IF(F41&lt;=0.95,"B","C"))</f>
        <v/>
      </c>
      <c r="H41" s="23" t="n">
        <v>0.351</v>
      </c>
      <c r="I41" s="5" t="inlineStr">
        <is>
          <t>X</t>
        </is>
      </c>
      <c r="J41" s="5">
        <f>G41&amp;I41</f>
        <v/>
      </c>
    </row>
    <row r="42">
      <c r="A42" s="5" t="inlineStr">
        <is>
          <t>P0030</t>
        </is>
      </c>
      <c r="B42" s="5" t="inlineStr">
        <is>
          <t>Home Item 030</t>
        </is>
      </c>
      <c r="C42" s="5" t="inlineStr">
        <is>
          <t>Home &amp; Kitchen</t>
        </is>
      </c>
      <c r="D42" s="6" t="n">
        <v>119570.07</v>
      </c>
      <c r="E42" s="26">
        <f>D42/SUM($D$5:$D$154)</f>
        <v/>
      </c>
      <c r="F42" s="26">
        <f>SUM($D$5:D42)/SUM($D$5:$D$154)</f>
        <v/>
      </c>
      <c r="G42" s="5">
        <f>IF(F42&lt;=0.8,"A",IF(F42&lt;=0.95,"B","C"))</f>
        <v/>
      </c>
      <c r="H42" s="23" t="n">
        <v>0.285</v>
      </c>
      <c r="I42" s="5" t="inlineStr">
        <is>
          <t>X</t>
        </is>
      </c>
      <c r="J42" s="5">
        <f>G42&amp;I42</f>
        <v/>
      </c>
    </row>
    <row r="43">
      <c r="A43" s="5" t="inlineStr">
        <is>
          <t>P0109</t>
        </is>
      </c>
      <c r="B43" s="5" t="inlineStr">
        <is>
          <t>Office Item 109</t>
        </is>
      </c>
      <c r="C43" s="5" t="inlineStr">
        <is>
          <t>Office Supplies</t>
        </is>
      </c>
      <c r="D43" s="6" t="n">
        <v>118419.59</v>
      </c>
      <c r="E43" s="26">
        <f>D43/SUM($D$5:$D$154)</f>
        <v/>
      </c>
      <c r="F43" s="26">
        <f>SUM($D$5:D43)/SUM($D$5:$D$154)</f>
        <v/>
      </c>
      <c r="G43" s="5">
        <f>IF(F43&lt;=0.8,"A",IF(F43&lt;=0.95,"B","C"))</f>
        <v/>
      </c>
      <c r="H43" s="23" t="n">
        <v>0.206</v>
      </c>
      <c r="I43" s="5" t="inlineStr">
        <is>
          <t>X</t>
        </is>
      </c>
      <c r="J43" s="5">
        <f>G43&amp;I43</f>
        <v/>
      </c>
    </row>
    <row r="44">
      <c r="A44" s="5" t="inlineStr">
        <is>
          <t>P0131</t>
        </is>
      </c>
      <c r="B44" s="5" t="inlineStr">
        <is>
          <t>Packaging Item 131</t>
        </is>
      </c>
      <c r="C44" s="5" t="inlineStr">
        <is>
          <t>Packaging</t>
        </is>
      </c>
      <c r="D44" s="6" t="n">
        <v>117795.09</v>
      </c>
      <c r="E44" s="26">
        <f>D44/SUM($D$5:$D$154)</f>
        <v/>
      </c>
      <c r="F44" s="26">
        <f>SUM($D$5:D44)/SUM($D$5:$D$154)</f>
        <v/>
      </c>
      <c r="G44" s="5">
        <f>IF(F44&lt;=0.8,"A",IF(F44&lt;=0.95,"B","C"))</f>
        <v/>
      </c>
      <c r="H44" s="23" t="n">
        <v>0.079</v>
      </c>
      <c r="I44" s="5" t="inlineStr">
        <is>
          <t>X</t>
        </is>
      </c>
      <c r="J44" s="5">
        <f>G44&amp;I44</f>
        <v/>
      </c>
    </row>
    <row r="45">
      <c r="A45" s="5" t="inlineStr">
        <is>
          <t>P0072</t>
        </is>
      </c>
      <c r="B45" s="5" t="inlineStr">
        <is>
          <t>Outdoor Item 072</t>
        </is>
      </c>
      <c r="C45" s="5" t="inlineStr">
        <is>
          <t>Outdoor &amp; Garden</t>
        </is>
      </c>
      <c r="D45" s="6" t="n">
        <v>117449.01</v>
      </c>
      <c r="E45" s="26">
        <f>D45/SUM($D$5:$D$154)</f>
        <v/>
      </c>
      <c r="F45" s="26">
        <f>SUM($D$5:D45)/SUM($D$5:$D$154)</f>
        <v/>
      </c>
      <c r="G45" s="5">
        <f>IF(F45&lt;=0.8,"A",IF(F45&lt;=0.95,"B","C"))</f>
        <v/>
      </c>
      <c r="H45" s="23" t="n">
        <v>0.5600000000000001</v>
      </c>
      <c r="I45" s="5" t="inlineStr">
        <is>
          <t>Y</t>
        </is>
      </c>
      <c r="J45" s="5">
        <f>G45&amp;I45</f>
        <v/>
      </c>
    </row>
    <row r="46">
      <c r="A46" s="5" t="inlineStr">
        <is>
          <t>P0096</t>
        </is>
      </c>
      <c r="B46" s="5" t="inlineStr">
        <is>
          <t>Office Item 096</t>
        </is>
      </c>
      <c r="C46" s="5" t="inlineStr">
        <is>
          <t>Office Supplies</t>
        </is>
      </c>
      <c r="D46" s="6" t="n">
        <v>115701.47</v>
      </c>
      <c r="E46" s="26">
        <f>D46/SUM($D$5:$D$154)</f>
        <v/>
      </c>
      <c r="F46" s="26">
        <f>SUM($D$5:D46)/SUM($D$5:$D$154)</f>
        <v/>
      </c>
      <c r="G46" s="5">
        <f>IF(F46&lt;=0.8,"A",IF(F46&lt;=0.95,"B","C"))</f>
        <v/>
      </c>
      <c r="H46" s="23" t="n">
        <v>0.5580000000000001</v>
      </c>
      <c r="I46" s="5" t="inlineStr">
        <is>
          <t>Y</t>
        </is>
      </c>
      <c r="J46" s="5">
        <f>G46&amp;I46</f>
        <v/>
      </c>
    </row>
    <row r="47">
      <c r="A47" s="5" t="inlineStr">
        <is>
          <t>P0053</t>
        </is>
      </c>
      <c r="B47" s="5" t="inlineStr">
        <is>
          <t>Home Item 053</t>
        </is>
      </c>
      <c r="C47" s="5" t="inlineStr">
        <is>
          <t>Home &amp; Kitchen</t>
        </is>
      </c>
      <c r="D47" s="6" t="n">
        <v>115005.71</v>
      </c>
      <c r="E47" s="26">
        <f>D47/SUM($D$5:$D$154)</f>
        <v/>
      </c>
      <c r="F47" s="26">
        <f>SUM($D$5:D47)/SUM($D$5:$D$154)</f>
        <v/>
      </c>
      <c r="G47" s="5">
        <f>IF(F47&lt;=0.8,"A",IF(F47&lt;=0.95,"B","C"))</f>
        <v/>
      </c>
      <c r="H47" s="23" t="n">
        <v>0.313</v>
      </c>
      <c r="I47" s="5" t="inlineStr">
        <is>
          <t>X</t>
        </is>
      </c>
      <c r="J47" s="5">
        <f>G47&amp;I47</f>
        <v/>
      </c>
    </row>
    <row r="48">
      <c r="A48" s="5" t="inlineStr">
        <is>
          <t>P0124</t>
        </is>
      </c>
      <c r="B48" s="5" t="inlineStr">
        <is>
          <t>Health Item 124</t>
        </is>
      </c>
      <c r="C48" s="5" t="inlineStr">
        <is>
          <t>Health &amp; Safety</t>
        </is>
      </c>
      <c r="D48" s="6" t="n">
        <v>111531.52</v>
      </c>
      <c r="E48" s="26">
        <f>D48/SUM($D$5:$D$154)</f>
        <v/>
      </c>
      <c r="F48" s="26">
        <f>SUM($D$5:D48)/SUM($D$5:$D$154)</f>
        <v/>
      </c>
      <c r="G48" s="5">
        <f>IF(F48&lt;=0.8,"A",IF(F48&lt;=0.95,"B","C"))</f>
        <v/>
      </c>
      <c r="H48" s="23" t="n">
        <v>0.418</v>
      </c>
      <c r="I48" s="5" t="inlineStr">
        <is>
          <t>X</t>
        </is>
      </c>
      <c r="J48" s="5">
        <f>G48&amp;I48</f>
        <v/>
      </c>
    </row>
    <row r="49">
      <c r="A49" s="5" t="inlineStr">
        <is>
          <t>P0017</t>
        </is>
      </c>
      <c r="B49" s="5" t="inlineStr">
        <is>
          <t>Electronics Item 017</t>
        </is>
      </c>
      <c r="C49" s="5" t="inlineStr">
        <is>
          <t>Electronics</t>
        </is>
      </c>
      <c r="D49" s="6" t="n">
        <v>108395.99</v>
      </c>
      <c r="E49" s="26">
        <f>D49/SUM($D$5:$D$154)</f>
        <v/>
      </c>
      <c r="F49" s="26">
        <f>SUM($D$5:D49)/SUM($D$5:$D$154)</f>
        <v/>
      </c>
      <c r="G49" s="5">
        <f>IF(F49&lt;=0.8,"A",IF(F49&lt;=0.95,"B","C"))</f>
        <v/>
      </c>
      <c r="H49" s="23" t="n">
        <v>0.401</v>
      </c>
      <c r="I49" s="5" t="inlineStr">
        <is>
          <t>X</t>
        </is>
      </c>
      <c r="J49" s="5">
        <f>G49&amp;I49</f>
        <v/>
      </c>
    </row>
    <row r="50">
      <c r="A50" s="5" t="inlineStr">
        <is>
          <t>P0086</t>
        </is>
      </c>
      <c r="B50" s="5" t="inlineStr">
        <is>
          <t>Office Item 086</t>
        </is>
      </c>
      <c r="C50" s="5" t="inlineStr">
        <is>
          <t>Office Supplies</t>
        </is>
      </c>
      <c r="D50" s="6" t="n">
        <v>99092.99000000001</v>
      </c>
      <c r="E50" s="26">
        <f>D50/SUM($D$5:$D$154)</f>
        <v/>
      </c>
      <c r="F50" s="26">
        <f>SUM($D$5:D50)/SUM($D$5:$D$154)</f>
        <v/>
      </c>
      <c r="G50" s="5">
        <f>IF(F50&lt;=0.8,"A",IF(F50&lt;=0.95,"B","C"))</f>
        <v/>
      </c>
      <c r="H50" s="23" t="n">
        <v>0.272</v>
      </c>
      <c r="I50" s="5" t="inlineStr">
        <is>
          <t>X</t>
        </is>
      </c>
      <c r="J50" s="5">
        <f>G50&amp;I50</f>
        <v/>
      </c>
    </row>
    <row r="51">
      <c r="A51" s="5" t="inlineStr">
        <is>
          <t>P0059</t>
        </is>
      </c>
      <c r="B51" s="5" t="inlineStr">
        <is>
          <t>Outdoor Item 059</t>
        </is>
      </c>
      <c r="C51" s="5" t="inlineStr">
        <is>
          <t>Outdoor &amp; Garden</t>
        </is>
      </c>
      <c r="D51" s="6" t="n">
        <v>95723.17</v>
      </c>
      <c r="E51" s="26">
        <f>D51/SUM($D$5:$D$154)</f>
        <v/>
      </c>
      <c r="F51" s="26">
        <f>SUM($D$5:D51)/SUM($D$5:$D$154)</f>
        <v/>
      </c>
      <c r="G51" s="5">
        <f>IF(F51&lt;=0.8,"A",IF(F51&lt;=0.95,"B","C"))</f>
        <v/>
      </c>
      <c r="H51" s="23" t="n">
        <v>0.392</v>
      </c>
      <c r="I51" s="5" t="inlineStr">
        <is>
          <t>X</t>
        </is>
      </c>
      <c r="J51" s="5">
        <f>G51&amp;I51</f>
        <v/>
      </c>
    </row>
    <row r="52">
      <c r="A52" s="5" t="inlineStr">
        <is>
          <t>P0112</t>
        </is>
      </c>
      <c r="B52" s="5" t="inlineStr">
        <is>
          <t>Health Item 112</t>
        </is>
      </c>
      <c r="C52" s="5" t="inlineStr">
        <is>
          <t>Health &amp; Safety</t>
        </is>
      </c>
      <c r="D52" s="6" t="n">
        <v>95422.89999999999</v>
      </c>
      <c r="E52" s="26">
        <f>D52/SUM($D$5:$D$154)</f>
        <v/>
      </c>
      <c r="F52" s="26">
        <f>SUM($D$5:D52)/SUM($D$5:$D$154)</f>
        <v/>
      </c>
      <c r="G52" s="5">
        <f>IF(F52&lt;=0.8,"A",IF(F52&lt;=0.95,"B","C"))</f>
        <v/>
      </c>
      <c r="H52" s="23" t="n">
        <v>0.323</v>
      </c>
      <c r="I52" s="5" t="inlineStr">
        <is>
          <t>X</t>
        </is>
      </c>
      <c r="J52" s="5">
        <f>G52&amp;I52</f>
        <v/>
      </c>
    </row>
    <row r="53">
      <c r="A53" s="5" t="inlineStr">
        <is>
          <t>P0010</t>
        </is>
      </c>
      <c r="B53" s="5" t="inlineStr">
        <is>
          <t>Electronics Item 010</t>
        </is>
      </c>
      <c r="C53" s="5" t="inlineStr">
        <is>
          <t>Electronics</t>
        </is>
      </c>
      <c r="D53" s="6" t="n">
        <v>90894.75</v>
      </c>
      <c r="E53" s="26">
        <f>D53/SUM($D$5:$D$154)</f>
        <v/>
      </c>
      <c r="F53" s="26">
        <f>SUM($D$5:D53)/SUM($D$5:$D$154)</f>
        <v/>
      </c>
      <c r="G53" s="5">
        <f>IF(F53&lt;=0.8,"A",IF(F53&lt;=0.95,"B","C"))</f>
        <v/>
      </c>
      <c r="H53" s="23" t="n">
        <v>0.393</v>
      </c>
      <c r="I53" s="5" t="inlineStr">
        <is>
          <t>X</t>
        </is>
      </c>
      <c r="J53" s="5">
        <f>G53&amp;I53</f>
        <v/>
      </c>
    </row>
    <row r="54">
      <c r="A54" s="5" t="inlineStr">
        <is>
          <t>P0093</t>
        </is>
      </c>
      <c r="B54" s="5" t="inlineStr">
        <is>
          <t>Office Item 093</t>
        </is>
      </c>
      <c r="C54" s="5" t="inlineStr">
        <is>
          <t>Office Supplies</t>
        </is>
      </c>
      <c r="D54" s="6" t="n">
        <v>90112.71000000001</v>
      </c>
      <c r="E54" s="26">
        <f>D54/SUM($D$5:$D$154)</f>
        <v/>
      </c>
      <c r="F54" s="26">
        <f>SUM($D$5:D54)/SUM($D$5:$D$154)</f>
        <v/>
      </c>
      <c r="G54" s="5">
        <f>IF(F54&lt;=0.8,"A",IF(F54&lt;=0.95,"B","C"))</f>
        <v/>
      </c>
      <c r="H54" s="23" t="n">
        <v>0.312</v>
      </c>
      <c r="I54" s="5" t="inlineStr">
        <is>
          <t>X</t>
        </is>
      </c>
      <c r="J54" s="5">
        <f>G54&amp;I54</f>
        <v/>
      </c>
    </row>
    <row r="55">
      <c r="A55" s="5" t="inlineStr">
        <is>
          <t>P0119</t>
        </is>
      </c>
      <c r="B55" s="5" t="inlineStr">
        <is>
          <t>Health Item 119</t>
        </is>
      </c>
      <c r="C55" s="5" t="inlineStr">
        <is>
          <t>Health &amp; Safety</t>
        </is>
      </c>
      <c r="D55" s="6" t="n">
        <v>89408.49000000001</v>
      </c>
      <c r="E55" s="26">
        <f>D55/SUM($D$5:$D$154)</f>
        <v/>
      </c>
      <c r="F55" s="26">
        <f>SUM($D$5:D55)/SUM($D$5:$D$154)</f>
        <v/>
      </c>
      <c r="G55" s="5">
        <f>IF(F55&lt;=0.8,"A",IF(F55&lt;=0.95,"B","C"))</f>
        <v/>
      </c>
      <c r="H55" s="23" t="n">
        <v>0.349</v>
      </c>
      <c r="I55" s="5" t="inlineStr">
        <is>
          <t>X</t>
        </is>
      </c>
      <c r="J55" s="5">
        <f>G55&amp;I55</f>
        <v/>
      </c>
    </row>
    <row r="56">
      <c r="A56" s="5" t="inlineStr">
        <is>
          <t>P0125</t>
        </is>
      </c>
      <c r="B56" s="5" t="inlineStr">
        <is>
          <t>Health Item 125</t>
        </is>
      </c>
      <c r="C56" s="5" t="inlineStr">
        <is>
          <t>Health &amp; Safety</t>
        </is>
      </c>
      <c r="D56" s="6" t="n">
        <v>85880.42</v>
      </c>
      <c r="E56" s="26">
        <f>D56/SUM($D$5:$D$154)</f>
        <v/>
      </c>
      <c r="F56" s="26">
        <f>SUM($D$5:D56)/SUM($D$5:$D$154)</f>
        <v/>
      </c>
      <c r="G56" s="5">
        <f>IF(F56&lt;=0.8,"A",IF(F56&lt;=0.95,"B","C"))</f>
        <v/>
      </c>
      <c r="H56" s="23" t="n">
        <v>0.432</v>
      </c>
      <c r="I56" s="5" t="inlineStr">
        <is>
          <t>X</t>
        </is>
      </c>
      <c r="J56" s="5">
        <f>G56&amp;I56</f>
        <v/>
      </c>
    </row>
    <row r="57">
      <c r="A57" s="5" t="inlineStr">
        <is>
          <t>P0095</t>
        </is>
      </c>
      <c r="B57" s="5" t="inlineStr">
        <is>
          <t>Office Item 095</t>
        </is>
      </c>
      <c r="C57" s="5" t="inlineStr">
        <is>
          <t>Office Supplies</t>
        </is>
      </c>
      <c r="D57" s="6" t="n">
        <v>84312.67999999999</v>
      </c>
      <c r="E57" s="26">
        <f>D57/SUM($D$5:$D$154)</f>
        <v/>
      </c>
      <c r="F57" s="26">
        <f>SUM($D$5:D57)/SUM($D$5:$D$154)</f>
        <v/>
      </c>
      <c r="G57" s="5">
        <f>IF(F57&lt;=0.8,"A",IF(F57&lt;=0.95,"B","C"))</f>
        <v/>
      </c>
      <c r="H57" s="23" t="n">
        <v>0.206</v>
      </c>
      <c r="I57" s="5" t="inlineStr">
        <is>
          <t>X</t>
        </is>
      </c>
      <c r="J57" s="5">
        <f>G57&amp;I57</f>
        <v/>
      </c>
    </row>
    <row r="58">
      <c r="A58" s="5" t="inlineStr">
        <is>
          <t>P0014</t>
        </is>
      </c>
      <c r="B58" s="5" t="inlineStr">
        <is>
          <t>Electronics Item 014</t>
        </is>
      </c>
      <c r="C58" s="5" t="inlineStr">
        <is>
          <t>Electronics</t>
        </is>
      </c>
      <c r="D58" s="6" t="n">
        <v>84163.64</v>
      </c>
      <c r="E58" s="26">
        <f>D58/SUM($D$5:$D$154)</f>
        <v/>
      </c>
      <c r="F58" s="26">
        <f>SUM($D$5:D58)/SUM($D$5:$D$154)</f>
        <v/>
      </c>
      <c r="G58" s="5">
        <f>IF(F58&lt;=0.8,"A",IF(F58&lt;=0.95,"B","C"))</f>
        <v/>
      </c>
      <c r="H58" s="23" t="n">
        <v>0.479</v>
      </c>
      <c r="I58" s="5" t="inlineStr">
        <is>
          <t>X</t>
        </is>
      </c>
      <c r="J58" s="5">
        <f>G58&amp;I58</f>
        <v/>
      </c>
    </row>
    <row r="59">
      <c r="A59" s="5" t="inlineStr">
        <is>
          <t>P0091</t>
        </is>
      </c>
      <c r="B59" s="5" t="inlineStr">
        <is>
          <t>Office Item 091</t>
        </is>
      </c>
      <c r="C59" s="5" t="inlineStr">
        <is>
          <t>Office Supplies</t>
        </is>
      </c>
      <c r="D59" s="6" t="n">
        <v>81964.35000000001</v>
      </c>
      <c r="E59" s="26">
        <f>D59/SUM($D$5:$D$154)</f>
        <v/>
      </c>
      <c r="F59" s="26">
        <f>SUM($D$5:D59)/SUM($D$5:$D$154)</f>
        <v/>
      </c>
      <c r="G59" s="5">
        <f>IF(F59&lt;=0.8,"A",IF(F59&lt;=0.95,"B","C"))</f>
        <v/>
      </c>
      <c r="H59" s="23" t="n">
        <v>0.405</v>
      </c>
      <c r="I59" s="5" t="inlineStr">
        <is>
          <t>X</t>
        </is>
      </c>
      <c r="J59" s="5">
        <f>G59&amp;I59</f>
        <v/>
      </c>
    </row>
    <row r="60">
      <c r="A60" s="5" t="inlineStr">
        <is>
          <t>P0098</t>
        </is>
      </c>
      <c r="B60" s="5" t="inlineStr">
        <is>
          <t>Office Item 098</t>
        </is>
      </c>
      <c r="C60" s="5" t="inlineStr">
        <is>
          <t>Office Supplies</t>
        </is>
      </c>
      <c r="D60" s="6" t="n">
        <v>77519.47</v>
      </c>
      <c r="E60" s="26">
        <f>D60/SUM($D$5:$D$154)</f>
        <v/>
      </c>
      <c r="F60" s="26">
        <f>SUM($D$5:D60)/SUM($D$5:$D$154)</f>
        <v/>
      </c>
      <c r="G60" s="5">
        <f>IF(F60&lt;=0.8,"A",IF(F60&lt;=0.95,"B","C"))</f>
        <v/>
      </c>
      <c r="H60" s="23" t="n">
        <v>0.315</v>
      </c>
      <c r="I60" s="5" t="inlineStr">
        <is>
          <t>X</t>
        </is>
      </c>
      <c r="J60" s="5">
        <f>G60&amp;I60</f>
        <v/>
      </c>
    </row>
    <row r="61">
      <c r="A61" s="5" t="inlineStr">
        <is>
          <t>P0047</t>
        </is>
      </c>
      <c r="B61" s="5" t="inlineStr">
        <is>
          <t>Home Item 047</t>
        </is>
      </c>
      <c r="C61" s="5" t="inlineStr">
        <is>
          <t>Home &amp; Kitchen</t>
        </is>
      </c>
      <c r="D61" s="6" t="n">
        <v>76678.14999999999</v>
      </c>
      <c r="E61" s="26">
        <f>D61/SUM($D$5:$D$154)</f>
        <v/>
      </c>
      <c r="F61" s="26">
        <f>SUM($D$5:D61)/SUM($D$5:$D$154)</f>
        <v/>
      </c>
      <c r="G61" s="5">
        <f>IF(F61&lt;=0.8,"A",IF(F61&lt;=0.95,"B","C"))</f>
        <v/>
      </c>
      <c r="H61" s="23" t="n">
        <v>0.431</v>
      </c>
      <c r="I61" s="5" t="inlineStr">
        <is>
          <t>X</t>
        </is>
      </c>
      <c r="J61" s="5">
        <f>G61&amp;I61</f>
        <v/>
      </c>
    </row>
    <row r="62">
      <c r="A62" s="5" t="inlineStr">
        <is>
          <t>P0080</t>
        </is>
      </c>
      <c r="B62" s="5" t="inlineStr">
        <is>
          <t>Outdoor Item 080</t>
        </is>
      </c>
      <c r="C62" s="5" t="inlineStr">
        <is>
          <t>Outdoor &amp; Garden</t>
        </is>
      </c>
      <c r="D62" s="6" t="n">
        <v>68279.41</v>
      </c>
      <c r="E62" s="26">
        <f>D62/SUM($D$5:$D$154)</f>
        <v/>
      </c>
      <c r="F62" s="26">
        <f>SUM($D$5:D62)/SUM($D$5:$D$154)</f>
        <v/>
      </c>
      <c r="G62" s="5">
        <f>IF(F62&lt;=0.8,"A",IF(F62&lt;=0.95,"B","C"))</f>
        <v/>
      </c>
      <c r="H62" s="23" t="n">
        <v>0.626</v>
      </c>
      <c r="I62" s="5" t="inlineStr">
        <is>
          <t>Y</t>
        </is>
      </c>
      <c r="J62" s="5">
        <f>G62&amp;I62</f>
        <v/>
      </c>
    </row>
    <row r="63">
      <c r="A63" s="5" t="inlineStr">
        <is>
          <t>P0102</t>
        </is>
      </c>
      <c r="B63" s="5" t="inlineStr">
        <is>
          <t>Office Item 102</t>
        </is>
      </c>
      <c r="C63" s="5" t="inlineStr">
        <is>
          <t>Office Supplies</t>
        </is>
      </c>
      <c r="D63" s="6" t="n">
        <v>67764.8</v>
      </c>
      <c r="E63" s="26">
        <f>D63/SUM($D$5:$D$154)</f>
        <v/>
      </c>
      <c r="F63" s="26">
        <f>SUM($D$5:D63)/SUM($D$5:$D$154)</f>
        <v/>
      </c>
      <c r="G63" s="5">
        <f>IF(F63&lt;=0.8,"A",IF(F63&lt;=0.95,"B","C"))</f>
        <v/>
      </c>
      <c r="H63" s="23" t="n">
        <v>0.278</v>
      </c>
      <c r="I63" s="5" t="inlineStr">
        <is>
          <t>X</t>
        </is>
      </c>
      <c r="J63" s="5">
        <f>G63&amp;I63</f>
        <v/>
      </c>
    </row>
    <row r="64">
      <c r="A64" s="5" t="inlineStr">
        <is>
          <t>P0094</t>
        </is>
      </c>
      <c r="B64" s="5" t="inlineStr">
        <is>
          <t>Office Item 094</t>
        </is>
      </c>
      <c r="C64" s="5" t="inlineStr">
        <is>
          <t>Office Supplies</t>
        </is>
      </c>
      <c r="D64" s="6" t="n">
        <v>67315.60000000001</v>
      </c>
      <c r="E64" s="26">
        <f>D64/SUM($D$5:$D$154)</f>
        <v/>
      </c>
      <c r="F64" s="26">
        <f>SUM($D$5:D64)/SUM($D$5:$D$154)</f>
        <v/>
      </c>
      <c r="G64" s="5">
        <f>IF(F64&lt;=0.8,"A",IF(F64&lt;=0.95,"B","C"))</f>
        <v/>
      </c>
      <c r="H64" s="23" t="n">
        <v>0.257</v>
      </c>
      <c r="I64" s="5" t="inlineStr">
        <is>
          <t>X</t>
        </is>
      </c>
      <c r="J64" s="5">
        <f>G64&amp;I64</f>
        <v/>
      </c>
    </row>
    <row r="65">
      <c r="A65" s="5" t="inlineStr">
        <is>
          <t>P0148</t>
        </is>
      </c>
      <c r="B65" s="5" t="inlineStr">
        <is>
          <t>Packaging Item 148</t>
        </is>
      </c>
      <c r="C65" s="5" t="inlineStr">
        <is>
          <t>Packaging</t>
        </is>
      </c>
      <c r="D65" s="6" t="n">
        <v>66250.03999999999</v>
      </c>
      <c r="E65" s="26">
        <f>D65/SUM($D$5:$D$154)</f>
        <v/>
      </c>
      <c r="F65" s="26">
        <f>SUM($D$5:D65)/SUM($D$5:$D$154)</f>
        <v/>
      </c>
      <c r="G65" s="5">
        <f>IF(F65&lt;=0.8,"A",IF(F65&lt;=0.95,"B","C"))</f>
        <v/>
      </c>
      <c r="H65" s="23" t="n">
        <v>0.515</v>
      </c>
      <c r="I65" s="5" t="inlineStr">
        <is>
          <t>Y</t>
        </is>
      </c>
      <c r="J65" s="5">
        <f>G65&amp;I65</f>
        <v/>
      </c>
    </row>
    <row r="66">
      <c r="A66" s="5" t="inlineStr">
        <is>
          <t>P0036</t>
        </is>
      </c>
      <c r="B66" s="5" t="inlineStr">
        <is>
          <t>Home Item 036</t>
        </is>
      </c>
      <c r="C66" s="5" t="inlineStr">
        <is>
          <t>Home &amp; Kitchen</t>
        </is>
      </c>
      <c r="D66" s="6" t="n">
        <v>63547.61</v>
      </c>
      <c r="E66" s="26">
        <f>D66/SUM($D$5:$D$154)</f>
        <v/>
      </c>
      <c r="F66" s="26">
        <f>SUM($D$5:D66)/SUM($D$5:$D$154)</f>
        <v/>
      </c>
      <c r="G66" s="5">
        <f>IF(F66&lt;=0.8,"A",IF(F66&lt;=0.95,"B","C"))</f>
        <v/>
      </c>
      <c r="H66" s="23" t="n">
        <v>0.323</v>
      </c>
      <c r="I66" s="5" t="inlineStr">
        <is>
          <t>X</t>
        </is>
      </c>
      <c r="J66" s="5">
        <f>G66&amp;I66</f>
        <v/>
      </c>
    </row>
    <row r="67">
      <c r="A67" s="5" t="inlineStr">
        <is>
          <t>P0075</t>
        </is>
      </c>
      <c r="B67" s="5" t="inlineStr">
        <is>
          <t>Outdoor Item 075</t>
        </is>
      </c>
      <c r="C67" s="5" t="inlineStr">
        <is>
          <t>Outdoor &amp; Garden</t>
        </is>
      </c>
      <c r="D67" s="6" t="n">
        <v>61114.06</v>
      </c>
      <c r="E67" s="26">
        <f>D67/SUM($D$5:$D$154)</f>
        <v/>
      </c>
      <c r="F67" s="26">
        <f>SUM($D$5:D67)/SUM($D$5:$D$154)</f>
        <v/>
      </c>
      <c r="G67" s="5">
        <f>IF(F67&lt;=0.8,"A",IF(F67&lt;=0.95,"B","C"))</f>
        <v/>
      </c>
      <c r="H67" s="23" t="n">
        <v>0.732</v>
      </c>
      <c r="I67" s="5" t="inlineStr">
        <is>
          <t>Y</t>
        </is>
      </c>
      <c r="J67" s="5">
        <f>G67&amp;I67</f>
        <v/>
      </c>
    </row>
    <row r="68">
      <c r="A68" s="5" t="inlineStr">
        <is>
          <t>P0042</t>
        </is>
      </c>
      <c r="B68" s="5" t="inlineStr">
        <is>
          <t>Home Item 042</t>
        </is>
      </c>
      <c r="C68" s="5" t="inlineStr">
        <is>
          <t>Home &amp; Kitchen</t>
        </is>
      </c>
      <c r="D68" s="6" t="n">
        <v>60866.25</v>
      </c>
      <c r="E68" s="26">
        <f>D68/SUM($D$5:$D$154)</f>
        <v/>
      </c>
      <c r="F68" s="26">
        <f>SUM($D$5:D68)/SUM($D$5:$D$154)</f>
        <v/>
      </c>
      <c r="G68" s="5">
        <f>IF(F68&lt;=0.8,"A",IF(F68&lt;=0.95,"B","C"))</f>
        <v/>
      </c>
      <c r="H68" s="23" t="n">
        <v>0.283</v>
      </c>
      <c r="I68" s="5" t="inlineStr">
        <is>
          <t>X</t>
        </is>
      </c>
      <c r="J68" s="5">
        <f>G68&amp;I68</f>
        <v/>
      </c>
    </row>
    <row r="69">
      <c r="A69" s="5" t="inlineStr">
        <is>
          <t>P0031</t>
        </is>
      </c>
      <c r="B69" s="5" t="inlineStr">
        <is>
          <t>Home Item 031</t>
        </is>
      </c>
      <c r="C69" s="5" t="inlineStr">
        <is>
          <t>Home &amp; Kitchen</t>
        </is>
      </c>
      <c r="D69" s="6" t="n">
        <v>55050.6</v>
      </c>
      <c r="E69" s="26">
        <f>D69/SUM($D$5:$D$154)</f>
        <v/>
      </c>
      <c r="F69" s="26">
        <f>SUM($D$5:D69)/SUM($D$5:$D$154)</f>
        <v/>
      </c>
      <c r="G69" s="5">
        <f>IF(F69&lt;=0.8,"A",IF(F69&lt;=0.95,"B","C"))</f>
        <v/>
      </c>
      <c r="H69" s="23" t="n">
        <v>0.408</v>
      </c>
      <c r="I69" s="5" t="inlineStr">
        <is>
          <t>X</t>
        </is>
      </c>
      <c r="J69" s="5">
        <f>G69&amp;I69</f>
        <v/>
      </c>
    </row>
    <row r="70">
      <c r="A70" s="5" t="inlineStr">
        <is>
          <t>P0061</t>
        </is>
      </c>
      <c r="B70" s="5" t="inlineStr">
        <is>
          <t>Outdoor Item 061</t>
        </is>
      </c>
      <c r="C70" s="5" t="inlineStr">
        <is>
          <t>Outdoor &amp; Garden</t>
        </is>
      </c>
      <c r="D70" s="6" t="n">
        <v>53386.74</v>
      </c>
      <c r="E70" s="26">
        <f>D70/SUM($D$5:$D$154)</f>
        <v/>
      </c>
      <c r="F70" s="26">
        <f>SUM($D$5:D70)/SUM($D$5:$D$154)</f>
        <v/>
      </c>
      <c r="G70" s="5">
        <f>IF(F70&lt;=0.8,"A",IF(F70&lt;=0.95,"B","C"))</f>
        <v/>
      </c>
      <c r="H70" s="23" t="n">
        <v>0.419</v>
      </c>
      <c r="I70" s="5" t="inlineStr">
        <is>
          <t>X</t>
        </is>
      </c>
      <c r="J70" s="5">
        <f>G70&amp;I70</f>
        <v/>
      </c>
    </row>
    <row r="71">
      <c r="A71" s="5" t="inlineStr">
        <is>
          <t>P0035</t>
        </is>
      </c>
      <c r="B71" s="5" t="inlineStr">
        <is>
          <t>Home Item 035</t>
        </is>
      </c>
      <c r="C71" s="5" t="inlineStr">
        <is>
          <t>Home &amp; Kitchen</t>
        </is>
      </c>
      <c r="D71" s="6" t="n">
        <v>53357.1</v>
      </c>
      <c r="E71" s="26">
        <f>D71/SUM($D$5:$D$154)</f>
        <v/>
      </c>
      <c r="F71" s="26">
        <f>SUM($D$5:D71)/SUM($D$5:$D$154)</f>
        <v/>
      </c>
      <c r="G71" s="5">
        <f>IF(F71&lt;=0.8,"A",IF(F71&lt;=0.95,"B","C"))</f>
        <v/>
      </c>
      <c r="H71" s="23" t="n">
        <v>0.382</v>
      </c>
      <c r="I71" s="5" t="inlineStr">
        <is>
          <t>X</t>
        </is>
      </c>
      <c r="J71" s="5">
        <f>G71&amp;I71</f>
        <v/>
      </c>
    </row>
    <row r="72">
      <c r="A72" s="5" t="inlineStr">
        <is>
          <t>P0065</t>
        </is>
      </c>
      <c r="B72" s="5" t="inlineStr">
        <is>
          <t>Outdoor Item 065</t>
        </is>
      </c>
      <c r="C72" s="5" t="inlineStr">
        <is>
          <t>Outdoor &amp; Garden</t>
        </is>
      </c>
      <c r="D72" s="6" t="n">
        <v>50706.19</v>
      </c>
      <c r="E72" s="26">
        <f>D72/SUM($D$5:$D$154)</f>
        <v/>
      </c>
      <c r="F72" s="26">
        <f>SUM($D$5:D72)/SUM($D$5:$D$154)</f>
        <v/>
      </c>
      <c r="G72" s="5">
        <f>IF(F72&lt;=0.8,"A",IF(F72&lt;=0.95,"B","C"))</f>
        <v/>
      </c>
      <c r="H72" s="23" t="n">
        <v>0.424</v>
      </c>
      <c r="I72" s="5" t="inlineStr">
        <is>
          <t>X</t>
        </is>
      </c>
      <c r="J72" s="5">
        <f>G72&amp;I72</f>
        <v/>
      </c>
    </row>
    <row r="73">
      <c r="A73" s="5" t="inlineStr">
        <is>
          <t>P0101</t>
        </is>
      </c>
      <c r="B73" s="5" t="inlineStr">
        <is>
          <t>Office Item 101</t>
        </is>
      </c>
      <c r="C73" s="5" t="inlineStr">
        <is>
          <t>Office Supplies</t>
        </is>
      </c>
      <c r="D73" s="6" t="n">
        <v>50398.82</v>
      </c>
      <c r="E73" s="26">
        <f>D73/SUM($D$5:$D$154)</f>
        <v/>
      </c>
      <c r="F73" s="26">
        <f>SUM($D$5:D73)/SUM($D$5:$D$154)</f>
        <v/>
      </c>
      <c r="G73" s="5">
        <f>IF(F73&lt;=0.8,"A",IF(F73&lt;=0.95,"B","C"))</f>
        <v/>
      </c>
      <c r="H73" s="23" t="n">
        <v>0.264</v>
      </c>
      <c r="I73" s="5" t="inlineStr">
        <is>
          <t>X</t>
        </is>
      </c>
      <c r="J73" s="5">
        <f>G73&amp;I73</f>
        <v/>
      </c>
    </row>
    <row r="74">
      <c r="A74" s="5" t="inlineStr">
        <is>
          <t>P0063</t>
        </is>
      </c>
      <c r="B74" s="5" t="inlineStr">
        <is>
          <t>Outdoor Item 063</t>
        </is>
      </c>
      <c r="C74" s="5" t="inlineStr">
        <is>
          <t>Outdoor &amp; Garden</t>
        </is>
      </c>
      <c r="D74" s="6" t="n">
        <v>50229.51</v>
      </c>
      <c r="E74" s="26">
        <f>D74/SUM($D$5:$D$154)</f>
        <v/>
      </c>
      <c r="F74" s="26">
        <f>SUM($D$5:D74)/SUM($D$5:$D$154)</f>
        <v/>
      </c>
      <c r="G74" s="5">
        <f>IF(F74&lt;=0.8,"A",IF(F74&lt;=0.95,"B","C"))</f>
        <v/>
      </c>
      <c r="H74" s="23" t="n">
        <v>0.75</v>
      </c>
      <c r="I74" s="5" t="inlineStr">
        <is>
          <t>Y</t>
        </is>
      </c>
      <c r="J74" s="5">
        <f>G74&amp;I74</f>
        <v/>
      </c>
    </row>
    <row r="75">
      <c r="A75" s="5" t="inlineStr">
        <is>
          <t>P0032</t>
        </is>
      </c>
      <c r="B75" s="5" t="inlineStr">
        <is>
          <t>Home Item 032</t>
        </is>
      </c>
      <c r="C75" s="5" t="inlineStr">
        <is>
          <t>Home &amp; Kitchen</t>
        </is>
      </c>
      <c r="D75" s="6" t="n">
        <v>49897.74</v>
      </c>
      <c r="E75" s="26">
        <f>D75/SUM($D$5:$D$154)</f>
        <v/>
      </c>
      <c r="F75" s="26">
        <f>SUM($D$5:D75)/SUM($D$5:$D$154)</f>
        <v/>
      </c>
      <c r="G75" s="5">
        <f>IF(F75&lt;=0.8,"A",IF(F75&lt;=0.95,"B","C"))</f>
        <v/>
      </c>
      <c r="H75" s="23" t="n">
        <v>0.526</v>
      </c>
      <c r="I75" s="5" t="inlineStr">
        <is>
          <t>Y</t>
        </is>
      </c>
      <c r="J75" s="5">
        <f>G75&amp;I75</f>
        <v/>
      </c>
    </row>
    <row r="76">
      <c r="A76" s="5" t="inlineStr">
        <is>
          <t>P0024</t>
        </is>
      </c>
      <c r="B76" s="5" t="inlineStr">
        <is>
          <t>Electronics Item 024</t>
        </is>
      </c>
      <c r="C76" s="5" t="inlineStr">
        <is>
          <t>Electronics</t>
        </is>
      </c>
      <c r="D76" s="6" t="n">
        <v>49241.02</v>
      </c>
      <c r="E76" s="26">
        <f>D76/SUM($D$5:$D$154)</f>
        <v/>
      </c>
      <c r="F76" s="26">
        <f>SUM($D$5:D76)/SUM($D$5:$D$154)</f>
        <v/>
      </c>
      <c r="G76" s="5">
        <f>IF(F76&lt;=0.8,"A",IF(F76&lt;=0.95,"B","C"))</f>
        <v/>
      </c>
      <c r="H76" s="23" t="n">
        <v>0.492</v>
      </c>
      <c r="I76" s="5" t="inlineStr">
        <is>
          <t>X</t>
        </is>
      </c>
      <c r="J76" s="5">
        <f>G76&amp;I76</f>
        <v/>
      </c>
    </row>
    <row r="77">
      <c r="A77" s="5" t="inlineStr">
        <is>
          <t>P0115</t>
        </is>
      </c>
      <c r="B77" s="5" t="inlineStr">
        <is>
          <t>Health Item 115</t>
        </is>
      </c>
      <c r="C77" s="5" t="inlineStr">
        <is>
          <t>Health &amp; Safety</t>
        </is>
      </c>
      <c r="D77" s="6" t="n">
        <v>47900.29</v>
      </c>
      <c r="E77" s="26">
        <f>D77/SUM($D$5:$D$154)</f>
        <v/>
      </c>
      <c r="F77" s="26">
        <f>SUM($D$5:D77)/SUM($D$5:$D$154)</f>
        <v/>
      </c>
      <c r="G77" s="5">
        <f>IF(F77&lt;=0.8,"A",IF(F77&lt;=0.95,"B","C"))</f>
        <v/>
      </c>
      <c r="H77" s="23" t="n">
        <v>0.499</v>
      </c>
      <c r="I77" s="5" t="inlineStr">
        <is>
          <t>X</t>
        </is>
      </c>
      <c r="J77" s="5">
        <f>G77&amp;I77</f>
        <v/>
      </c>
    </row>
    <row r="78">
      <c r="A78" s="5" t="inlineStr">
        <is>
          <t>P0009</t>
        </is>
      </c>
      <c r="B78" s="5" t="inlineStr">
        <is>
          <t>Electronics Item 009</t>
        </is>
      </c>
      <c r="C78" s="5" t="inlineStr">
        <is>
          <t>Electronics</t>
        </is>
      </c>
      <c r="D78" s="6" t="n">
        <v>47259.73</v>
      </c>
      <c r="E78" s="26">
        <f>D78/SUM($D$5:$D$154)</f>
        <v/>
      </c>
      <c r="F78" s="26">
        <f>SUM($D$5:D78)/SUM($D$5:$D$154)</f>
        <v/>
      </c>
      <c r="G78" s="5">
        <f>IF(F78&lt;=0.8,"A",IF(F78&lt;=0.95,"B","C"))</f>
        <v/>
      </c>
      <c r="H78" s="23" t="n">
        <v>0.427</v>
      </c>
      <c r="I78" s="5" t="inlineStr">
        <is>
          <t>X</t>
        </is>
      </c>
      <c r="J78" s="5">
        <f>G78&amp;I78</f>
        <v/>
      </c>
    </row>
    <row r="79">
      <c r="A79" s="5" t="inlineStr">
        <is>
          <t>P0027</t>
        </is>
      </c>
      <c r="B79" s="5" t="inlineStr">
        <is>
          <t>Home Item 027</t>
        </is>
      </c>
      <c r="C79" s="5" t="inlineStr">
        <is>
          <t>Home &amp; Kitchen</t>
        </is>
      </c>
      <c r="D79" s="6" t="n">
        <v>47119.64</v>
      </c>
      <c r="E79" s="26">
        <f>D79/SUM($D$5:$D$154)</f>
        <v/>
      </c>
      <c r="F79" s="26">
        <f>SUM($D$5:D79)/SUM($D$5:$D$154)</f>
        <v/>
      </c>
      <c r="G79" s="5">
        <f>IF(F79&lt;=0.8,"A",IF(F79&lt;=0.95,"B","C"))</f>
        <v/>
      </c>
      <c r="H79" s="23" t="n">
        <v>0.424</v>
      </c>
      <c r="I79" s="5" t="inlineStr">
        <is>
          <t>X</t>
        </is>
      </c>
      <c r="J79" s="5">
        <f>G79&amp;I79</f>
        <v/>
      </c>
    </row>
    <row r="80">
      <c r="A80" s="5" t="inlineStr">
        <is>
          <t>P0005</t>
        </is>
      </c>
      <c r="B80" s="5" t="inlineStr">
        <is>
          <t>Electronics Item 005</t>
        </is>
      </c>
      <c r="C80" s="5" t="inlineStr">
        <is>
          <t>Electronics</t>
        </is>
      </c>
      <c r="D80" s="6" t="n">
        <v>46209.77</v>
      </c>
      <c r="E80" s="26">
        <f>D80/SUM($D$5:$D$154)</f>
        <v/>
      </c>
      <c r="F80" s="26">
        <f>SUM($D$5:D80)/SUM($D$5:$D$154)</f>
        <v/>
      </c>
      <c r="G80" s="5">
        <f>IF(F80&lt;=0.8,"A",IF(F80&lt;=0.95,"B","C"))</f>
        <v/>
      </c>
      <c r="H80" s="23" t="n">
        <v>0.554</v>
      </c>
      <c r="I80" s="5" t="inlineStr">
        <is>
          <t>Y</t>
        </is>
      </c>
      <c r="J80" s="5">
        <f>G80&amp;I80</f>
        <v/>
      </c>
    </row>
    <row r="81">
      <c r="A81" s="5" t="inlineStr">
        <is>
          <t>P0055</t>
        </is>
      </c>
      <c r="B81" s="5" t="inlineStr">
        <is>
          <t>Home Item 055</t>
        </is>
      </c>
      <c r="C81" s="5" t="inlineStr">
        <is>
          <t>Home &amp; Kitchen</t>
        </is>
      </c>
      <c r="D81" s="6" t="n">
        <v>45757.53</v>
      </c>
      <c r="E81" s="26">
        <f>D81/SUM($D$5:$D$154)</f>
        <v/>
      </c>
      <c r="F81" s="26">
        <f>SUM($D$5:D81)/SUM($D$5:$D$154)</f>
        <v/>
      </c>
      <c r="G81" s="5">
        <f>IF(F81&lt;=0.8,"A",IF(F81&lt;=0.95,"B","C"))</f>
        <v/>
      </c>
      <c r="H81" s="23" t="n">
        <v>0.302</v>
      </c>
      <c r="I81" s="5" t="inlineStr">
        <is>
          <t>X</t>
        </is>
      </c>
      <c r="J81" s="5">
        <f>G81&amp;I81</f>
        <v/>
      </c>
    </row>
    <row r="82">
      <c r="A82" s="5" t="inlineStr">
        <is>
          <t>P0140</t>
        </is>
      </c>
      <c r="B82" s="5" t="inlineStr">
        <is>
          <t>Packaging Item 140</t>
        </is>
      </c>
      <c r="C82" s="5" t="inlineStr">
        <is>
          <t>Packaging</t>
        </is>
      </c>
      <c r="D82" s="6" t="n">
        <v>42034.61</v>
      </c>
      <c r="E82" s="26">
        <f>D82/SUM($D$5:$D$154)</f>
        <v/>
      </c>
      <c r="F82" s="26">
        <f>SUM($D$5:D82)/SUM($D$5:$D$154)</f>
        <v/>
      </c>
      <c r="G82" s="5">
        <f>IF(F82&lt;=0.8,"A",IF(F82&lt;=0.95,"B","C"))</f>
        <v/>
      </c>
      <c r="H82" s="23" t="n">
        <v>0.322</v>
      </c>
      <c r="I82" s="5" t="inlineStr">
        <is>
          <t>X</t>
        </is>
      </c>
      <c r="J82" s="5">
        <f>G82&amp;I82</f>
        <v/>
      </c>
    </row>
    <row r="83">
      <c r="A83" s="5" t="inlineStr">
        <is>
          <t>P0068</t>
        </is>
      </c>
      <c r="B83" s="5" t="inlineStr">
        <is>
          <t>Outdoor Item 068</t>
        </is>
      </c>
      <c r="C83" s="5" t="inlineStr">
        <is>
          <t>Outdoor &amp; Garden</t>
        </is>
      </c>
      <c r="D83" s="6" t="n">
        <v>41914.76</v>
      </c>
      <c r="E83" s="26">
        <f>D83/SUM($D$5:$D$154)</f>
        <v/>
      </c>
      <c r="F83" s="26">
        <f>SUM($D$5:D83)/SUM($D$5:$D$154)</f>
        <v/>
      </c>
      <c r="G83" s="5">
        <f>IF(F83&lt;=0.8,"A",IF(F83&lt;=0.95,"B","C"))</f>
        <v/>
      </c>
      <c r="H83" s="23" t="n">
        <v>0.667</v>
      </c>
      <c r="I83" s="5" t="inlineStr">
        <is>
          <t>Y</t>
        </is>
      </c>
      <c r="J83" s="5">
        <f>G83&amp;I83</f>
        <v/>
      </c>
    </row>
    <row r="84">
      <c r="A84" s="5" t="inlineStr">
        <is>
          <t>P0099</t>
        </is>
      </c>
      <c r="B84" s="5" t="inlineStr">
        <is>
          <t>Office Item 099</t>
        </is>
      </c>
      <c r="C84" s="5" t="inlineStr">
        <is>
          <t>Office Supplies</t>
        </is>
      </c>
      <c r="D84" s="6" t="n">
        <v>36883.31</v>
      </c>
      <c r="E84" s="26">
        <f>D84/SUM($D$5:$D$154)</f>
        <v/>
      </c>
      <c r="F84" s="26">
        <f>SUM($D$5:D84)/SUM($D$5:$D$154)</f>
        <v/>
      </c>
      <c r="G84" s="5">
        <f>IF(F84&lt;=0.8,"A",IF(F84&lt;=0.95,"B","C"))</f>
        <v/>
      </c>
      <c r="H84" s="23" t="n">
        <v>0.635</v>
      </c>
      <c r="I84" s="5" t="inlineStr">
        <is>
          <t>Y</t>
        </is>
      </c>
      <c r="J84" s="5">
        <f>G84&amp;I84</f>
        <v/>
      </c>
    </row>
    <row r="85">
      <c r="A85" s="5" t="inlineStr">
        <is>
          <t>P0029</t>
        </is>
      </c>
      <c r="B85" s="5" t="inlineStr">
        <is>
          <t>Home Item 029</t>
        </is>
      </c>
      <c r="C85" s="5" t="inlineStr">
        <is>
          <t>Home &amp; Kitchen</t>
        </is>
      </c>
      <c r="D85" s="6" t="n">
        <v>36723.53</v>
      </c>
      <c r="E85" s="26">
        <f>D85/SUM($D$5:$D$154)</f>
        <v/>
      </c>
      <c r="F85" s="26">
        <f>SUM($D$5:D85)/SUM($D$5:$D$154)</f>
        <v/>
      </c>
      <c r="G85" s="5">
        <f>IF(F85&lt;=0.8,"A",IF(F85&lt;=0.95,"B","C"))</f>
        <v/>
      </c>
      <c r="H85" s="23" t="n">
        <v>0.364</v>
      </c>
      <c r="I85" s="5" t="inlineStr">
        <is>
          <t>X</t>
        </is>
      </c>
      <c r="J85" s="5">
        <f>G85&amp;I85</f>
        <v/>
      </c>
    </row>
    <row r="86">
      <c r="A86" s="5" t="inlineStr">
        <is>
          <t>P0130</t>
        </is>
      </c>
      <c r="B86" s="5" t="inlineStr">
        <is>
          <t>Health Item 130</t>
        </is>
      </c>
      <c r="C86" s="5" t="inlineStr">
        <is>
          <t>Health &amp; Safety</t>
        </is>
      </c>
      <c r="D86" s="6" t="n">
        <v>36036.26</v>
      </c>
      <c r="E86" s="26">
        <f>D86/SUM($D$5:$D$154)</f>
        <v/>
      </c>
      <c r="F86" s="26">
        <f>SUM($D$5:D86)/SUM($D$5:$D$154)</f>
        <v/>
      </c>
      <c r="G86" s="5">
        <f>IF(F86&lt;=0.8,"A",IF(F86&lt;=0.95,"B","C"))</f>
        <v/>
      </c>
      <c r="H86" s="23" t="n">
        <v>0.333</v>
      </c>
      <c r="I86" s="5" t="inlineStr">
        <is>
          <t>X</t>
        </is>
      </c>
      <c r="J86" s="5">
        <f>G86&amp;I86</f>
        <v/>
      </c>
    </row>
    <row r="87">
      <c r="A87" s="5" t="inlineStr">
        <is>
          <t>P0011</t>
        </is>
      </c>
      <c r="B87" s="5" t="inlineStr">
        <is>
          <t>Electronics Item 011</t>
        </is>
      </c>
      <c r="C87" s="5" t="inlineStr">
        <is>
          <t>Electronics</t>
        </is>
      </c>
      <c r="D87" s="6" t="n">
        <v>34547.8</v>
      </c>
      <c r="E87" s="26">
        <f>D87/SUM($D$5:$D$154)</f>
        <v/>
      </c>
      <c r="F87" s="26">
        <f>SUM($D$5:D87)/SUM($D$5:$D$154)</f>
        <v/>
      </c>
      <c r="G87" s="5">
        <f>IF(F87&lt;=0.8,"A",IF(F87&lt;=0.95,"B","C"))</f>
        <v/>
      </c>
      <c r="H87" s="23" t="n">
        <v>0.738</v>
      </c>
      <c r="I87" s="5" t="inlineStr">
        <is>
          <t>Y</t>
        </is>
      </c>
      <c r="J87" s="5">
        <f>G87&amp;I87</f>
        <v/>
      </c>
    </row>
    <row r="88">
      <c r="A88" s="5" t="inlineStr">
        <is>
          <t>P0046</t>
        </is>
      </c>
      <c r="B88" s="5" t="inlineStr">
        <is>
          <t>Home Item 046</t>
        </is>
      </c>
      <c r="C88" s="5" t="inlineStr">
        <is>
          <t>Home &amp; Kitchen</t>
        </is>
      </c>
      <c r="D88" s="6" t="n">
        <v>34403.19</v>
      </c>
      <c r="E88" s="26">
        <f>D88/SUM($D$5:$D$154)</f>
        <v/>
      </c>
      <c r="F88" s="26">
        <f>SUM($D$5:D88)/SUM($D$5:$D$154)</f>
        <v/>
      </c>
      <c r="G88" s="5">
        <f>IF(F88&lt;=0.8,"A",IF(F88&lt;=0.95,"B","C"))</f>
        <v/>
      </c>
      <c r="H88" s="23" t="n">
        <v>0.505</v>
      </c>
      <c r="I88" s="5" t="inlineStr">
        <is>
          <t>Y</t>
        </is>
      </c>
      <c r="J88" s="5">
        <f>G88&amp;I88</f>
        <v/>
      </c>
    </row>
    <row r="89">
      <c r="A89" s="5" t="inlineStr">
        <is>
          <t>P0106</t>
        </is>
      </c>
      <c r="B89" s="5" t="inlineStr">
        <is>
          <t>Office Item 106</t>
        </is>
      </c>
      <c r="C89" s="5" t="inlineStr">
        <is>
          <t>Office Supplies</t>
        </is>
      </c>
      <c r="D89" s="6" t="n">
        <v>32829.98</v>
      </c>
      <c r="E89" s="26">
        <f>D89/SUM($D$5:$D$154)</f>
        <v/>
      </c>
      <c r="F89" s="26">
        <f>SUM($D$5:D89)/SUM($D$5:$D$154)</f>
        <v/>
      </c>
      <c r="G89" s="5">
        <f>IF(F89&lt;=0.8,"A",IF(F89&lt;=0.95,"B","C"))</f>
        <v/>
      </c>
      <c r="H89" s="23" t="n">
        <v>0.381</v>
      </c>
      <c r="I89" s="5" t="inlineStr">
        <is>
          <t>X</t>
        </is>
      </c>
      <c r="J89" s="5">
        <f>G89&amp;I89</f>
        <v/>
      </c>
    </row>
    <row r="90">
      <c r="A90" s="5" t="inlineStr">
        <is>
          <t>P0071</t>
        </is>
      </c>
      <c r="B90" s="5" t="inlineStr">
        <is>
          <t>Outdoor Item 071</t>
        </is>
      </c>
      <c r="C90" s="5" t="inlineStr">
        <is>
          <t>Outdoor &amp; Garden</t>
        </is>
      </c>
      <c r="D90" s="6" t="n">
        <v>31869.17</v>
      </c>
      <c r="E90" s="26">
        <f>D90/SUM($D$5:$D$154)</f>
        <v/>
      </c>
      <c r="F90" s="26">
        <f>SUM($D$5:D90)/SUM($D$5:$D$154)</f>
        <v/>
      </c>
      <c r="G90" s="5">
        <f>IF(F90&lt;=0.8,"A",IF(F90&lt;=0.95,"B","C"))</f>
        <v/>
      </c>
      <c r="H90" s="23" t="n">
        <v>0.53</v>
      </c>
      <c r="I90" s="5" t="inlineStr">
        <is>
          <t>Y</t>
        </is>
      </c>
      <c r="J90" s="5">
        <f>G90&amp;I90</f>
        <v/>
      </c>
    </row>
    <row r="91">
      <c r="A91" s="5" t="inlineStr">
        <is>
          <t>P0048</t>
        </is>
      </c>
      <c r="B91" s="5" t="inlineStr">
        <is>
          <t>Home Item 048</t>
        </is>
      </c>
      <c r="C91" s="5" t="inlineStr">
        <is>
          <t>Home &amp; Kitchen</t>
        </is>
      </c>
      <c r="D91" s="6" t="n">
        <v>29520.87</v>
      </c>
      <c r="E91" s="26">
        <f>D91/SUM($D$5:$D$154)</f>
        <v/>
      </c>
      <c r="F91" s="26">
        <f>SUM($D$5:D91)/SUM($D$5:$D$154)</f>
        <v/>
      </c>
      <c r="G91" s="5">
        <f>IF(F91&lt;=0.8,"A",IF(F91&lt;=0.95,"B","C"))</f>
        <v/>
      </c>
      <c r="H91" s="23" t="n">
        <v>0.498</v>
      </c>
      <c r="I91" s="5" t="inlineStr">
        <is>
          <t>X</t>
        </is>
      </c>
      <c r="J91" s="5">
        <f>G91&amp;I91</f>
        <v/>
      </c>
    </row>
    <row r="92">
      <c r="A92" s="5" t="inlineStr">
        <is>
          <t>P0113</t>
        </is>
      </c>
      <c r="B92" s="5" t="inlineStr">
        <is>
          <t>Health Item 113</t>
        </is>
      </c>
      <c r="C92" s="5" t="inlineStr">
        <is>
          <t>Health &amp; Safety</t>
        </is>
      </c>
      <c r="D92" s="6" t="n">
        <v>28387.68</v>
      </c>
      <c r="E92" s="26">
        <f>D92/SUM($D$5:$D$154)</f>
        <v/>
      </c>
      <c r="F92" s="26">
        <f>SUM($D$5:D92)/SUM($D$5:$D$154)</f>
        <v/>
      </c>
      <c r="G92" s="5">
        <f>IF(F92&lt;=0.8,"A",IF(F92&lt;=0.95,"B","C"))</f>
        <v/>
      </c>
      <c r="H92" s="23" t="n">
        <v>0.37</v>
      </c>
      <c r="I92" s="5" t="inlineStr">
        <is>
          <t>X</t>
        </is>
      </c>
      <c r="J92" s="5">
        <f>G92&amp;I92</f>
        <v/>
      </c>
    </row>
    <row r="93">
      <c r="A93" s="5" t="inlineStr">
        <is>
          <t>P0057</t>
        </is>
      </c>
      <c r="B93" s="5" t="inlineStr">
        <is>
          <t>Outdoor Item 057</t>
        </is>
      </c>
      <c r="C93" s="5" t="inlineStr">
        <is>
          <t>Outdoor &amp; Garden</t>
        </is>
      </c>
      <c r="D93" s="6" t="n">
        <v>27211.95</v>
      </c>
      <c r="E93" s="26">
        <f>D93/SUM($D$5:$D$154)</f>
        <v/>
      </c>
      <c r="F93" s="26">
        <f>SUM($D$5:D93)/SUM($D$5:$D$154)</f>
        <v/>
      </c>
      <c r="G93" s="5">
        <f>IF(F93&lt;=0.8,"A",IF(F93&lt;=0.95,"B","C"))</f>
        <v/>
      </c>
      <c r="H93" s="23" t="n">
        <v>0.606</v>
      </c>
      <c r="I93" s="5" t="inlineStr">
        <is>
          <t>Y</t>
        </is>
      </c>
      <c r="J93" s="5">
        <f>G93&amp;I93</f>
        <v/>
      </c>
    </row>
    <row r="94">
      <c r="A94" s="5" t="inlineStr">
        <is>
          <t>P0051</t>
        </is>
      </c>
      <c r="B94" s="5" t="inlineStr">
        <is>
          <t>Home Item 051</t>
        </is>
      </c>
      <c r="C94" s="5" t="inlineStr">
        <is>
          <t>Home &amp; Kitchen</t>
        </is>
      </c>
      <c r="D94" s="6" t="n">
        <v>26305.08</v>
      </c>
      <c r="E94" s="26">
        <f>D94/SUM($D$5:$D$154)</f>
        <v/>
      </c>
      <c r="F94" s="26">
        <f>SUM($D$5:D94)/SUM($D$5:$D$154)</f>
        <v/>
      </c>
      <c r="G94" s="5">
        <f>IF(F94&lt;=0.8,"A",IF(F94&lt;=0.95,"B","C"))</f>
        <v/>
      </c>
      <c r="H94" s="23" t="n">
        <v>0.612</v>
      </c>
      <c r="I94" s="5" t="inlineStr">
        <is>
          <t>Y</t>
        </is>
      </c>
      <c r="J94" s="5">
        <f>G94&amp;I94</f>
        <v/>
      </c>
    </row>
    <row r="95">
      <c r="A95" s="5" t="inlineStr">
        <is>
          <t>P0087</t>
        </is>
      </c>
      <c r="B95" s="5" t="inlineStr">
        <is>
          <t>Office Item 087</t>
        </is>
      </c>
      <c r="C95" s="5" t="inlineStr">
        <is>
          <t>Office Supplies</t>
        </is>
      </c>
      <c r="D95" s="6" t="n">
        <v>26287.1</v>
      </c>
      <c r="E95" s="26">
        <f>D95/SUM($D$5:$D$154)</f>
        <v/>
      </c>
      <c r="F95" s="26">
        <f>SUM($D$5:D95)/SUM($D$5:$D$154)</f>
        <v/>
      </c>
      <c r="G95" s="5">
        <f>IF(F95&lt;=0.8,"A",IF(F95&lt;=0.95,"B","C"))</f>
        <v/>
      </c>
      <c r="H95" s="23" t="n">
        <v>0.303</v>
      </c>
      <c r="I95" s="5" t="inlineStr">
        <is>
          <t>X</t>
        </is>
      </c>
      <c r="J95" s="5">
        <f>G95&amp;I95</f>
        <v/>
      </c>
    </row>
    <row r="96">
      <c r="A96" s="5" t="inlineStr">
        <is>
          <t>P0117</t>
        </is>
      </c>
      <c r="B96" s="5" t="inlineStr">
        <is>
          <t>Health Item 117</t>
        </is>
      </c>
      <c r="C96" s="5" t="inlineStr">
        <is>
          <t>Health &amp; Safety</t>
        </is>
      </c>
      <c r="D96" s="6" t="n">
        <v>26199.5</v>
      </c>
      <c r="E96" s="26">
        <f>D96/SUM($D$5:$D$154)</f>
        <v/>
      </c>
      <c r="F96" s="26">
        <f>SUM($D$5:D96)/SUM($D$5:$D$154)</f>
        <v/>
      </c>
      <c r="G96" s="5">
        <f>IF(F96&lt;=0.8,"A",IF(F96&lt;=0.95,"B","C"))</f>
        <v/>
      </c>
      <c r="H96" s="23" t="n">
        <v>0.358</v>
      </c>
      <c r="I96" s="5" t="inlineStr">
        <is>
          <t>X</t>
        </is>
      </c>
      <c r="J96" s="5">
        <f>G96&amp;I96</f>
        <v/>
      </c>
    </row>
    <row r="97">
      <c r="A97" s="5" t="inlineStr">
        <is>
          <t>P0028</t>
        </is>
      </c>
      <c r="B97" s="5" t="inlineStr">
        <is>
          <t>Home Item 028</t>
        </is>
      </c>
      <c r="C97" s="5" t="inlineStr">
        <is>
          <t>Home &amp; Kitchen</t>
        </is>
      </c>
      <c r="D97" s="6" t="n">
        <v>25881.71</v>
      </c>
      <c r="E97" s="26">
        <f>D97/SUM($D$5:$D$154)</f>
        <v/>
      </c>
      <c r="F97" s="26">
        <f>SUM($D$5:D97)/SUM($D$5:$D$154)</f>
        <v/>
      </c>
      <c r="G97" s="5">
        <f>IF(F97&lt;=0.8,"A",IF(F97&lt;=0.95,"B","C"))</f>
        <v/>
      </c>
      <c r="H97" s="23" t="n">
        <v>0.604</v>
      </c>
      <c r="I97" s="5" t="inlineStr">
        <is>
          <t>Y</t>
        </is>
      </c>
      <c r="J97" s="5">
        <f>G97&amp;I97</f>
        <v/>
      </c>
    </row>
    <row r="98">
      <c r="A98" s="5" t="inlineStr">
        <is>
          <t>P0120</t>
        </is>
      </c>
      <c r="B98" s="5" t="inlineStr">
        <is>
          <t>Health Item 120</t>
        </is>
      </c>
      <c r="C98" s="5" t="inlineStr">
        <is>
          <t>Health &amp; Safety</t>
        </is>
      </c>
      <c r="D98" s="6" t="n">
        <v>22964.65</v>
      </c>
      <c r="E98" s="26">
        <f>D98/SUM($D$5:$D$154)</f>
        <v/>
      </c>
      <c r="F98" s="26">
        <f>SUM($D$5:D98)/SUM($D$5:$D$154)</f>
        <v/>
      </c>
      <c r="G98" s="5">
        <f>IF(F98&lt;=0.8,"A",IF(F98&lt;=0.95,"B","C"))</f>
        <v/>
      </c>
      <c r="H98" s="23" t="n">
        <v>0.64</v>
      </c>
      <c r="I98" s="5" t="inlineStr">
        <is>
          <t>Y</t>
        </is>
      </c>
      <c r="J98" s="5">
        <f>G98&amp;I98</f>
        <v/>
      </c>
    </row>
    <row r="99">
      <c r="A99" s="5" t="inlineStr">
        <is>
          <t>P0040</t>
        </is>
      </c>
      <c r="B99" s="5" t="inlineStr">
        <is>
          <t>Home Item 040</t>
        </is>
      </c>
      <c r="C99" s="5" t="inlineStr">
        <is>
          <t>Home &amp; Kitchen</t>
        </is>
      </c>
      <c r="D99" s="6" t="n">
        <v>22307.02</v>
      </c>
      <c r="E99" s="26">
        <f>D99/SUM($D$5:$D$154)</f>
        <v/>
      </c>
      <c r="F99" s="26">
        <f>SUM($D$5:D99)/SUM($D$5:$D$154)</f>
        <v/>
      </c>
      <c r="G99" s="5">
        <f>IF(F99&lt;=0.8,"A",IF(F99&lt;=0.95,"B","C"))</f>
        <v/>
      </c>
      <c r="H99" s="23" t="n">
        <v>0.462</v>
      </c>
      <c r="I99" s="5" t="inlineStr">
        <is>
          <t>X</t>
        </is>
      </c>
      <c r="J99" s="5">
        <f>G99&amp;I99</f>
        <v/>
      </c>
    </row>
    <row r="100">
      <c r="A100" s="5" t="inlineStr">
        <is>
          <t>P0142</t>
        </is>
      </c>
      <c r="B100" s="5" t="inlineStr">
        <is>
          <t>Packaging Item 142</t>
        </is>
      </c>
      <c r="C100" s="5" t="inlineStr">
        <is>
          <t>Packaging</t>
        </is>
      </c>
      <c r="D100" s="6" t="n">
        <v>21919.41</v>
      </c>
      <c r="E100" s="26">
        <f>D100/SUM($D$5:$D$154)</f>
        <v/>
      </c>
      <c r="F100" s="26">
        <f>SUM($D$5:D100)/SUM($D$5:$D$154)</f>
        <v/>
      </c>
      <c r="G100" s="5">
        <f>IF(F100&lt;=0.8,"A",IF(F100&lt;=0.95,"B","C"))</f>
        <v/>
      </c>
      <c r="H100" s="23" t="n">
        <v>0.178</v>
      </c>
      <c r="I100" s="5" t="inlineStr">
        <is>
          <t>X</t>
        </is>
      </c>
      <c r="J100" s="5">
        <f>G100&amp;I100</f>
        <v/>
      </c>
    </row>
    <row r="101">
      <c r="A101" s="5" t="inlineStr">
        <is>
          <t>P0008</t>
        </is>
      </c>
      <c r="B101" s="5" t="inlineStr">
        <is>
          <t>Electronics Item 008</t>
        </is>
      </c>
      <c r="C101" s="5" t="inlineStr">
        <is>
          <t>Electronics</t>
        </is>
      </c>
      <c r="D101" s="6" t="n">
        <v>21845.19</v>
      </c>
      <c r="E101" s="26">
        <f>D101/SUM($D$5:$D$154)</f>
        <v/>
      </c>
      <c r="F101" s="26">
        <f>SUM($D$5:D101)/SUM($D$5:$D$154)</f>
        <v/>
      </c>
      <c r="G101" s="5">
        <f>IF(F101&lt;=0.8,"A",IF(F101&lt;=0.95,"B","C"))</f>
        <v/>
      </c>
      <c r="H101" s="23" t="n">
        <v>0.641</v>
      </c>
      <c r="I101" s="5" t="inlineStr">
        <is>
          <t>Y</t>
        </is>
      </c>
      <c r="J101" s="5">
        <f>G101&amp;I101</f>
        <v/>
      </c>
    </row>
    <row r="102">
      <c r="A102" s="5" t="inlineStr">
        <is>
          <t>P0137</t>
        </is>
      </c>
      <c r="B102" s="5" t="inlineStr">
        <is>
          <t>Packaging Item 137</t>
        </is>
      </c>
      <c r="C102" s="5" t="inlineStr">
        <is>
          <t>Packaging</t>
        </is>
      </c>
      <c r="D102" s="6" t="n">
        <v>21534.82</v>
      </c>
      <c r="E102" s="26">
        <f>D102/SUM($D$5:$D$154)</f>
        <v/>
      </c>
      <c r="F102" s="26">
        <f>SUM($D$5:D102)/SUM($D$5:$D$154)</f>
        <v/>
      </c>
      <c r="G102" s="5">
        <f>IF(F102&lt;=0.8,"A",IF(F102&lt;=0.95,"B","C"))</f>
        <v/>
      </c>
      <c r="H102" s="23" t="n">
        <v>0.534</v>
      </c>
      <c r="I102" s="5" t="inlineStr">
        <is>
          <t>Y</t>
        </is>
      </c>
      <c r="J102" s="5">
        <f>G102&amp;I102</f>
        <v/>
      </c>
    </row>
    <row r="103">
      <c r="A103" s="5" t="inlineStr">
        <is>
          <t>P0079</t>
        </is>
      </c>
      <c r="B103" s="5" t="inlineStr">
        <is>
          <t>Outdoor Item 079</t>
        </is>
      </c>
      <c r="C103" s="5" t="inlineStr">
        <is>
          <t>Outdoor &amp; Garden</t>
        </is>
      </c>
      <c r="D103" s="6" t="n">
        <v>21269.9</v>
      </c>
      <c r="E103" s="26">
        <f>D103/SUM($D$5:$D$154)</f>
        <v/>
      </c>
      <c r="F103" s="26">
        <f>SUM($D$5:D103)/SUM($D$5:$D$154)</f>
        <v/>
      </c>
      <c r="G103" s="5">
        <f>IF(F103&lt;=0.8,"A",IF(F103&lt;=0.95,"B","C"))</f>
        <v/>
      </c>
      <c r="H103" s="23" t="n">
        <v>0.572</v>
      </c>
      <c r="I103" s="5" t="inlineStr">
        <is>
          <t>Y</t>
        </is>
      </c>
      <c r="J103" s="5">
        <f>G103&amp;I103</f>
        <v/>
      </c>
    </row>
    <row r="104">
      <c r="A104" s="5" t="inlineStr">
        <is>
          <t>P0033</t>
        </is>
      </c>
      <c r="B104" s="5" t="inlineStr">
        <is>
          <t>Home Item 033</t>
        </is>
      </c>
      <c r="C104" s="5" t="inlineStr">
        <is>
          <t>Home &amp; Kitchen</t>
        </is>
      </c>
      <c r="D104" s="6" t="n">
        <v>21039.97</v>
      </c>
      <c r="E104" s="26">
        <f>D104/SUM($D$5:$D$154)</f>
        <v/>
      </c>
      <c r="F104" s="26">
        <f>SUM($D$5:D104)/SUM($D$5:$D$154)</f>
        <v/>
      </c>
      <c r="G104" s="5">
        <f>IF(F104&lt;=0.8,"A",IF(F104&lt;=0.95,"B","C"))</f>
        <v/>
      </c>
      <c r="H104" s="23" t="n">
        <v>0.372</v>
      </c>
      <c r="I104" s="5" t="inlineStr">
        <is>
          <t>X</t>
        </is>
      </c>
      <c r="J104" s="5">
        <f>G104&amp;I104</f>
        <v/>
      </c>
    </row>
    <row r="105">
      <c r="A105" s="5" t="inlineStr">
        <is>
          <t>P0149</t>
        </is>
      </c>
      <c r="B105" s="5" t="inlineStr">
        <is>
          <t>Packaging Item 149</t>
        </is>
      </c>
      <c r="C105" s="5" t="inlineStr">
        <is>
          <t>Packaging</t>
        </is>
      </c>
      <c r="D105" s="6" t="n">
        <v>20922.93</v>
      </c>
      <c r="E105" s="26">
        <f>D105/SUM($D$5:$D$154)</f>
        <v/>
      </c>
      <c r="F105" s="26">
        <f>SUM($D$5:D105)/SUM($D$5:$D$154)</f>
        <v/>
      </c>
      <c r="G105" s="5">
        <f>IF(F105&lt;=0.8,"A",IF(F105&lt;=0.95,"B","C"))</f>
        <v/>
      </c>
      <c r="H105" s="23" t="n">
        <v>0.349</v>
      </c>
      <c r="I105" s="5" t="inlineStr">
        <is>
          <t>X</t>
        </is>
      </c>
      <c r="J105" s="5">
        <f>G105&amp;I105</f>
        <v/>
      </c>
    </row>
    <row r="106">
      <c r="A106" s="5" t="inlineStr">
        <is>
          <t>P0121</t>
        </is>
      </c>
      <c r="B106" s="5" t="inlineStr">
        <is>
          <t>Health Item 121</t>
        </is>
      </c>
      <c r="C106" s="5" t="inlineStr">
        <is>
          <t>Health &amp; Safety</t>
        </is>
      </c>
      <c r="D106" s="6" t="n">
        <v>18570.94</v>
      </c>
      <c r="E106" s="26">
        <f>D106/SUM($D$5:$D$154)</f>
        <v/>
      </c>
      <c r="F106" s="26">
        <f>SUM($D$5:D106)/SUM($D$5:$D$154)</f>
        <v/>
      </c>
      <c r="G106" s="5">
        <f>IF(F106&lt;=0.8,"A",IF(F106&lt;=0.95,"B","C"))</f>
        <v/>
      </c>
      <c r="H106" s="23" t="n">
        <v>0.362</v>
      </c>
      <c r="I106" s="5" t="inlineStr">
        <is>
          <t>X</t>
        </is>
      </c>
      <c r="J106" s="5">
        <f>G106&amp;I106</f>
        <v/>
      </c>
    </row>
    <row r="107">
      <c r="A107" s="5" t="inlineStr">
        <is>
          <t>P0092</t>
        </is>
      </c>
      <c r="B107" s="5" t="inlineStr">
        <is>
          <t>Office Item 092</t>
        </is>
      </c>
      <c r="C107" s="5" t="inlineStr">
        <is>
          <t>Office Supplies</t>
        </is>
      </c>
      <c r="D107" s="6" t="n">
        <v>18537.12</v>
      </c>
      <c r="E107" s="26">
        <f>D107/SUM($D$5:$D$154)</f>
        <v/>
      </c>
      <c r="F107" s="26">
        <f>SUM($D$5:D107)/SUM($D$5:$D$154)</f>
        <v/>
      </c>
      <c r="G107" s="5">
        <f>IF(F107&lt;=0.8,"A",IF(F107&lt;=0.95,"B","C"))</f>
        <v/>
      </c>
      <c r="H107" s="23" t="n">
        <v>0.289</v>
      </c>
      <c r="I107" s="5" t="inlineStr">
        <is>
          <t>X</t>
        </is>
      </c>
      <c r="J107" s="5">
        <f>G107&amp;I107</f>
        <v/>
      </c>
    </row>
    <row r="108">
      <c r="A108" s="5" t="inlineStr">
        <is>
          <t>P0150</t>
        </is>
      </c>
      <c r="B108" s="5" t="inlineStr">
        <is>
          <t>Packaging Item 150</t>
        </is>
      </c>
      <c r="C108" s="5" t="inlineStr">
        <is>
          <t>Packaging</t>
        </is>
      </c>
      <c r="D108" s="6" t="n">
        <v>18275.52</v>
      </c>
      <c r="E108" s="26">
        <f>D108/SUM($D$5:$D$154)</f>
        <v/>
      </c>
      <c r="F108" s="26">
        <f>SUM($D$5:D108)/SUM($D$5:$D$154)</f>
        <v/>
      </c>
      <c r="G108" s="5">
        <f>IF(F108&lt;=0.8,"A",IF(F108&lt;=0.95,"B","C"))</f>
        <v/>
      </c>
      <c r="H108" s="23" t="n">
        <v>0.127</v>
      </c>
      <c r="I108" s="5" t="inlineStr">
        <is>
          <t>X</t>
        </is>
      </c>
      <c r="J108" s="5">
        <f>G108&amp;I108</f>
        <v/>
      </c>
    </row>
    <row r="109">
      <c r="A109" s="5" t="inlineStr">
        <is>
          <t>P0049</t>
        </is>
      </c>
      <c r="B109" s="5" t="inlineStr">
        <is>
          <t>Home Item 049</t>
        </is>
      </c>
      <c r="C109" s="5" t="inlineStr">
        <is>
          <t>Home &amp; Kitchen</t>
        </is>
      </c>
      <c r="D109" s="6" t="n">
        <v>17844.62</v>
      </c>
      <c r="E109" s="26">
        <f>D109/SUM($D$5:$D$154)</f>
        <v/>
      </c>
      <c r="F109" s="26">
        <f>SUM($D$5:D109)/SUM($D$5:$D$154)</f>
        <v/>
      </c>
      <c r="G109" s="5">
        <f>IF(F109&lt;=0.8,"A",IF(F109&lt;=0.95,"B","C"))</f>
        <v/>
      </c>
      <c r="H109" s="23" t="n">
        <v>0.453</v>
      </c>
      <c r="I109" s="5" t="inlineStr">
        <is>
          <t>X</t>
        </is>
      </c>
      <c r="J109" s="5">
        <f>G109&amp;I109</f>
        <v/>
      </c>
    </row>
    <row r="110">
      <c r="A110" s="5" t="inlineStr">
        <is>
          <t>P0015</t>
        </is>
      </c>
      <c r="B110" s="5" t="inlineStr">
        <is>
          <t>Electronics Item 015</t>
        </is>
      </c>
      <c r="C110" s="5" t="inlineStr">
        <is>
          <t>Electronics</t>
        </is>
      </c>
      <c r="D110" s="6" t="n">
        <v>16517.94</v>
      </c>
      <c r="E110" s="26">
        <f>D110/SUM($D$5:$D$154)</f>
        <v/>
      </c>
      <c r="F110" s="26">
        <f>SUM($D$5:D110)/SUM($D$5:$D$154)</f>
        <v/>
      </c>
      <c r="G110" s="5">
        <f>IF(F110&lt;=0.8,"A",IF(F110&lt;=0.95,"B","C"))</f>
        <v/>
      </c>
      <c r="H110" s="23" t="n">
        <v>0.6929999999999999</v>
      </c>
      <c r="I110" s="5" t="inlineStr">
        <is>
          <t>Y</t>
        </is>
      </c>
      <c r="J110" s="5">
        <f>G110&amp;I110</f>
        <v/>
      </c>
    </row>
    <row r="111">
      <c r="A111" s="5" t="inlineStr">
        <is>
          <t>P0082</t>
        </is>
      </c>
      <c r="B111" s="5" t="inlineStr">
        <is>
          <t>Office Item 082</t>
        </is>
      </c>
      <c r="C111" s="5" t="inlineStr">
        <is>
          <t>Office Supplies</t>
        </is>
      </c>
      <c r="D111" s="6" t="n">
        <v>16489.25</v>
      </c>
      <c r="E111" s="26">
        <f>D111/SUM($D$5:$D$154)</f>
        <v/>
      </c>
      <c r="F111" s="26">
        <f>SUM($D$5:D111)/SUM($D$5:$D$154)</f>
        <v/>
      </c>
      <c r="G111" s="5">
        <f>IF(F111&lt;=0.8,"A",IF(F111&lt;=0.95,"B","C"))</f>
        <v/>
      </c>
      <c r="H111" s="23" t="n">
        <v>0.248</v>
      </c>
      <c r="I111" s="5" t="inlineStr">
        <is>
          <t>X</t>
        </is>
      </c>
      <c r="J111" s="5">
        <f>G111&amp;I111</f>
        <v/>
      </c>
    </row>
    <row r="112">
      <c r="A112" s="5" t="inlineStr">
        <is>
          <t>P0076</t>
        </is>
      </c>
      <c r="B112" s="5" t="inlineStr">
        <is>
          <t>Outdoor Item 076</t>
        </is>
      </c>
      <c r="C112" s="5" t="inlineStr">
        <is>
          <t>Outdoor &amp; Garden</t>
        </is>
      </c>
      <c r="D112" s="6" t="n">
        <v>16356.43</v>
      </c>
      <c r="E112" s="26">
        <f>D112/SUM($D$5:$D$154)</f>
        <v/>
      </c>
      <c r="F112" s="26">
        <f>SUM($D$5:D112)/SUM($D$5:$D$154)</f>
        <v/>
      </c>
      <c r="G112" s="5">
        <f>IF(F112&lt;=0.8,"A",IF(F112&lt;=0.95,"B","C"))</f>
        <v/>
      </c>
      <c r="H112" s="23" t="n">
        <v>0.625</v>
      </c>
      <c r="I112" s="5" t="inlineStr">
        <is>
          <t>Y</t>
        </is>
      </c>
      <c r="J112" s="5">
        <f>G112&amp;I112</f>
        <v/>
      </c>
    </row>
    <row r="113">
      <c r="A113" s="5" t="inlineStr">
        <is>
          <t>P0050</t>
        </is>
      </c>
      <c r="B113" s="5" t="inlineStr">
        <is>
          <t>Home Item 050</t>
        </is>
      </c>
      <c r="C113" s="5" t="inlineStr">
        <is>
          <t>Home &amp; Kitchen</t>
        </is>
      </c>
      <c r="D113" s="6" t="n">
        <v>16181.83</v>
      </c>
      <c r="E113" s="26">
        <f>D113/SUM($D$5:$D$154)</f>
        <v/>
      </c>
      <c r="F113" s="26">
        <f>SUM($D$5:D113)/SUM($D$5:$D$154)</f>
        <v/>
      </c>
      <c r="G113" s="5">
        <f>IF(F113&lt;=0.8,"A",IF(F113&lt;=0.95,"B","C"))</f>
        <v/>
      </c>
      <c r="H113" s="23" t="n">
        <v>0.367</v>
      </c>
      <c r="I113" s="5" t="inlineStr">
        <is>
          <t>X</t>
        </is>
      </c>
      <c r="J113" s="5">
        <f>G113&amp;I113</f>
        <v/>
      </c>
    </row>
    <row r="114">
      <c r="A114" s="5" t="inlineStr">
        <is>
          <t>P0078</t>
        </is>
      </c>
      <c r="B114" s="5" t="inlineStr">
        <is>
          <t>Outdoor Item 078</t>
        </is>
      </c>
      <c r="C114" s="5" t="inlineStr">
        <is>
          <t>Outdoor &amp; Garden</t>
        </is>
      </c>
      <c r="D114" s="6" t="n">
        <v>15782.01</v>
      </c>
      <c r="E114" s="26">
        <f>D114/SUM($D$5:$D$154)</f>
        <v/>
      </c>
      <c r="F114" s="26">
        <f>SUM($D$5:D114)/SUM($D$5:$D$154)</f>
        <v/>
      </c>
      <c r="G114" s="5">
        <f>IF(F114&lt;=0.8,"A",IF(F114&lt;=0.95,"B","C"))</f>
        <v/>
      </c>
      <c r="H114" s="23" t="n">
        <v>0.5590000000000001</v>
      </c>
      <c r="I114" s="5" t="inlineStr">
        <is>
          <t>Y</t>
        </is>
      </c>
      <c r="J114" s="5">
        <f>G114&amp;I114</f>
        <v/>
      </c>
    </row>
    <row r="115">
      <c r="A115" s="5" t="inlineStr">
        <is>
          <t>P0105</t>
        </is>
      </c>
      <c r="B115" s="5" t="inlineStr">
        <is>
          <t>Office Item 105</t>
        </is>
      </c>
      <c r="C115" s="5" t="inlineStr">
        <is>
          <t>Office Supplies</t>
        </is>
      </c>
      <c r="D115" s="6" t="n">
        <v>15429.25</v>
      </c>
      <c r="E115" s="26">
        <f>D115/SUM($D$5:$D$154)</f>
        <v/>
      </c>
      <c r="F115" s="26">
        <f>SUM($D$5:D115)/SUM($D$5:$D$154)</f>
        <v/>
      </c>
      <c r="G115" s="5">
        <f>IF(F115&lt;=0.8,"A",IF(F115&lt;=0.95,"B","C"))</f>
        <v/>
      </c>
      <c r="H115" s="23" t="n">
        <v>0.508</v>
      </c>
      <c r="I115" s="5" t="inlineStr">
        <is>
          <t>Y</t>
        </is>
      </c>
      <c r="J115" s="5">
        <f>G115&amp;I115</f>
        <v/>
      </c>
    </row>
    <row r="116">
      <c r="A116" s="5" t="inlineStr">
        <is>
          <t>P0038</t>
        </is>
      </c>
      <c r="B116" s="5" t="inlineStr">
        <is>
          <t>Home Item 038</t>
        </is>
      </c>
      <c r="C116" s="5" t="inlineStr">
        <is>
          <t>Home &amp; Kitchen</t>
        </is>
      </c>
      <c r="D116" s="6" t="n">
        <v>14631.81</v>
      </c>
      <c r="E116" s="26">
        <f>D116/SUM($D$5:$D$154)</f>
        <v/>
      </c>
      <c r="F116" s="26">
        <f>SUM($D$5:D116)/SUM($D$5:$D$154)</f>
        <v/>
      </c>
      <c r="G116" s="5">
        <f>IF(F116&lt;=0.8,"A",IF(F116&lt;=0.95,"B","C"))</f>
        <v/>
      </c>
      <c r="H116" s="23" t="n">
        <v>0.424</v>
      </c>
      <c r="I116" s="5" t="inlineStr">
        <is>
          <t>X</t>
        </is>
      </c>
      <c r="J116" s="5">
        <f>G116&amp;I116</f>
        <v/>
      </c>
    </row>
    <row r="117">
      <c r="A117" s="5" t="inlineStr">
        <is>
          <t>P0088</t>
        </is>
      </c>
      <c r="B117" s="5" t="inlineStr">
        <is>
          <t>Office Item 088</t>
        </is>
      </c>
      <c r="C117" s="5" t="inlineStr">
        <is>
          <t>Office Supplies</t>
        </is>
      </c>
      <c r="D117" s="6" t="n">
        <v>13496.28</v>
      </c>
      <c r="E117" s="26">
        <f>D117/SUM($D$5:$D$154)</f>
        <v/>
      </c>
      <c r="F117" s="26">
        <f>SUM($D$5:D117)/SUM($D$5:$D$154)</f>
        <v/>
      </c>
      <c r="G117" s="5">
        <f>IF(F117&lt;=0.8,"A",IF(F117&lt;=0.95,"B","C"))</f>
        <v/>
      </c>
      <c r="H117" s="23" t="n">
        <v>0.443</v>
      </c>
      <c r="I117" s="5" t="inlineStr">
        <is>
          <t>X</t>
        </is>
      </c>
      <c r="J117" s="5">
        <f>G117&amp;I117</f>
        <v/>
      </c>
    </row>
    <row r="118">
      <c r="A118" s="5" t="inlineStr">
        <is>
          <t>P0090</t>
        </is>
      </c>
      <c r="B118" s="5" t="inlineStr">
        <is>
          <t>Office Item 090</t>
        </is>
      </c>
      <c r="C118" s="5" t="inlineStr">
        <is>
          <t>Office Supplies</t>
        </is>
      </c>
      <c r="D118" s="6" t="n">
        <v>13396.43</v>
      </c>
      <c r="E118" s="26">
        <f>D118/SUM($D$5:$D$154)</f>
        <v/>
      </c>
      <c r="F118" s="26">
        <f>SUM($D$5:D118)/SUM($D$5:$D$154)</f>
        <v/>
      </c>
      <c r="G118" s="5">
        <f>IF(F118&lt;=0.8,"A",IF(F118&lt;=0.95,"B","C"))</f>
        <v/>
      </c>
      <c r="H118" s="23" t="n">
        <v>0.305</v>
      </c>
      <c r="I118" s="5" t="inlineStr">
        <is>
          <t>X</t>
        </is>
      </c>
      <c r="J118" s="5">
        <f>G118&amp;I118</f>
        <v/>
      </c>
    </row>
    <row r="119">
      <c r="A119" s="5" t="inlineStr">
        <is>
          <t>P0129</t>
        </is>
      </c>
      <c r="B119" s="5" t="inlineStr">
        <is>
          <t>Health Item 129</t>
        </is>
      </c>
      <c r="C119" s="5" t="inlineStr">
        <is>
          <t>Health &amp; Safety</t>
        </is>
      </c>
      <c r="D119" s="6" t="n">
        <v>12565.48</v>
      </c>
      <c r="E119" s="26">
        <f>D119/SUM($D$5:$D$154)</f>
        <v/>
      </c>
      <c r="F119" s="26">
        <f>SUM($D$5:D119)/SUM($D$5:$D$154)</f>
        <v/>
      </c>
      <c r="G119" s="5">
        <f>IF(F119&lt;=0.8,"A",IF(F119&lt;=0.95,"B","C"))</f>
        <v/>
      </c>
      <c r="H119" s="23" t="n">
        <v>0.377</v>
      </c>
      <c r="I119" s="5" t="inlineStr">
        <is>
          <t>X</t>
        </is>
      </c>
      <c r="J119" s="5">
        <f>G119&amp;I119</f>
        <v/>
      </c>
    </row>
    <row r="120">
      <c r="A120" s="5" t="inlineStr">
        <is>
          <t>P0133</t>
        </is>
      </c>
      <c r="B120" s="5" t="inlineStr">
        <is>
          <t>Packaging Item 133</t>
        </is>
      </c>
      <c r="C120" s="5" t="inlineStr">
        <is>
          <t>Packaging</t>
        </is>
      </c>
      <c r="D120" s="6" t="n">
        <v>12389.12</v>
      </c>
      <c r="E120" s="26">
        <f>D120/SUM($D$5:$D$154)</f>
        <v/>
      </c>
      <c r="F120" s="26">
        <f>SUM($D$5:D120)/SUM($D$5:$D$154)</f>
        <v/>
      </c>
      <c r="G120" s="5">
        <f>IF(F120&lt;=0.8,"A",IF(F120&lt;=0.95,"B","C"))</f>
        <v/>
      </c>
      <c r="H120" s="23" t="n">
        <v>0.258</v>
      </c>
      <c r="I120" s="5" t="inlineStr">
        <is>
          <t>X</t>
        </is>
      </c>
      <c r="J120" s="5">
        <f>G120&amp;I120</f>
        <v/>
      </c>
    </row>
    <row r="121">
      <c r="A121" s="5" t="inlineStr">
        <is>
          <t>P0045</t>
        </is>
      </c>
      <c r="B121" s="5" t="inlineStr">
        <is>
          <t>Home Item 045</t>
        </is>
      </c>
      <c r="C121" s="5" t="inlineStr">
        <is>
          <t>Home &amp; Kitchen</t>
        </is>
      </c>
      <c r="D121" s="6" t="n">
        <v>12214.31</v>
      </c>
      <c r="E121" s="26">
        <f>D121/SUM($D$5:$D$154)</f>
        <v/>
      </c>
      <c r="F121" s="26">
        <f>SUM($D$5:D121)/SUM($D$5:$D$154)</f>
        <v/>
      </c>
      <c r="G121" s="5">
        <f>IF(F121&lt;=0.8,"A",IF(F121&lt;=0.95,"B","C"))</f>
        <v/>
      </c>
      <c r="H121" s="23" t="n">
        <v>0.443</v>
      </c>
      <c r="I121" s="5" t="inlineStr">
        <is>
          <t>X</t>
        </is>
      </c>
      <c r="J121" s="5">
        <f>G121&amp;I121</f>
        <v/>
      </c>
    </row>
    <row r="122">
      <c r="A122" s="5" t="inlineStr">
        <is>
          <t>P0062</t>
        </is>
      </c>
      <c r="B122" s="5" t="inlineStr">
        <is>
          <t>Outdoor Item 062</t>
        </is>
      </c>
      <c r="C122" s="5" t="inlineStr">
        <is>
          <t>Outdoor &amp; Garden</t>
        </is>
      </c>
      <c r="D122" s="6" t="n">
        <v>11915.72</v>
      </c>
      <c r="E122" s="26">
        <f>D122/SUM($D$5:$D$154)</f>
        <v/>
      </c>
      <c r="F122" s="26">
        <f>SUM($D$5:D122)/SUM($D$5:$D$154)</f>
        <v/>
      </c>
      <c r="G122" s="5">
        <f>IF(F122&lt;=0.8,"A",IF(F122&lt;=0.95,"B","C"))</f>
        <v/>
      </c>
      <c r="H122" s="23" t="n">
        <v>0.5620000000000001</v>
      </c>
      <c r="I122" s="5" t="inlineStr">
        <is>
          <t>Y</t>
        </is>
      </c>
      <c r="J122" s="5">
        <f>G122&amp;I122</f>
        <v/>
      </c>
    </row>
    <row r="123">
      <c r="A123" s="5" t="inlineStr">
        <is>
          <t>P0110</t>
        </is>
      </c>
      <c r="B123" s="5" t="inlineStr">
        <is>
          <t>Office Item 110</t>
        </is>
      </c>
      <c r="C123" s="5" t="inlineStr">
        <is>
          <t>Office Supplies</t>
        </is>
      </c>
      <c r="D123" s="6" t="n">
        <v>11320.09</v>
      </c>
      <c r="E123" s="26">
        <f>D123/SUM($D$5:$D$154)</f>
        <v/>
      </c>
      <c r="F123" s="26">
        <f>SUM($D$5:D123)/SUM($D$5:$D$154)</f>
        <v/>
      </c>
      <c r="G123" s="5">
        <f>IF(F123&lt;=0.8,"A",IF(F123&lt;=0.95,"B","C"))</f>
        <v/>
      </c>
      <c r="H123" s="23" t="n">
        <v>0.607</v>
      </c>
      <c r="I123" s="5" t="inlineStr">
        <is>
          <t>Y</t>
        </is>
      </c>
      <c r="J123" s="5">
        <f>G123&amp;I123</f>
        <v/>
      </c>
    </row>
    <row r="124">
      <c r="A124" s="5" t="inlineStr">
        <is>
          <t>P0136</t>
        </is>
      </c>
      <c r="B124" s="5" t="inlineStr">
        <is>
          <t>Packaging Item 136</t>
        </is>
      </c>
      <c r="C124" s="5" t="inlineStr">
        <is>
          <t>Packaging</t>
        </is>
      </c>
      <c r="D124" s="6" t="n">
        <v>10927.06</v>
      </c>
      <c r="E124" s="26">
        <f>D124/SUM($D$5:$D$154)</f>
        <v/>
      </c>
      <c r="F124" s="26">
        <f>SUM($D$5:D124)/SUM($D$5:$D$154)</f>
        <v/>
      </c>
      <c r="G124" s="5">
        <f>IF(F124&lt;=0.8,"A",IF(F124&lt;=0.95,"B","C"))</f>
        <v/>
      </c>
      <c r="H124" s="23" t="n">
        <v>0.22</v>
      </c>
      <c r="I124" s="5" t="inlineStr">
        <is>
          <t>X</t>
        </is>
      </c>
      <c r="J124" s="5">
        <f>G124&amp;I124</f>
        <v/>
      </c>
    </row>
    <row r="125">
      <c r="A125" s="5" t="inlineStr">
        <is>
          <t>P0114</t>
        </is>
      </c>
      <c r="B125" s="5" t="inlineStr">
        <is>
          <t>Health Item 114</t>
        </is>
      </c>
      <c r="C125" s="5" t="inlineStr">
        <is>
          <t>Health &amp; Safety</t>
        </is>
      </c>
      <c r="D125" s="6" t="n">
        <v>10921.63</v>
      </c>
      <c r="E125" s="26">
        <f>D125/SUM($D$5:$D$154)</f>
        <v/>
      </c>
      <c r="F125" s="26">
        <f>SUM($D$5:D125)/SUM($D$5:$D$154)</f>
        <v/>
      </c>
      <c r="G125" s="5">
        <f>IF(F125&lt;=0.8,"A",IF(F125&lt;=0.95,"B","C"))</f>
        <v/>
      </c>
      <c r="H125" s="23" t="n">
        <v>0.649</v>
      </c>
      <c r="I125" s="5" t="inlineStr">
        <is>
          <t>Y</t>
        </is>
      </c>
      <c r="J125" s="5">
        <f>G125&amp;I125</f>
        <v/>
      </c>
    </row>
    <row r="126">
      <c r="A126" s="5" t="inlineStr">
        <is>
          <t>P0058</t>
        </is>
      </c>
      <c r="B126" s="5" t="inlineStr">
        <is>
          <t>Outdoor Item 058</t>
        </is>
      </c>
      <c r="C126" s="5" t="inlineStr">
        <is>
          <t>Outdoor &amp; Garden</t>
        </is>
      </c>
      <c r="D126" s="6" t="n">
        <v>10561.63</v>
      </c>
      <c r="E126" s="26">
        <f>D126/SUM($D$5:$D$154)</f>
        <v/>
      </c>
      <c r="F126" s="26">
        <f>SUM($D$5:D126)/SUM($D$5:$D$154)</f>
        <v/>
      </c>
      <c r="G126" s="5">
        <f>IF(F126&lt;=0.8,"A",IF(F126&lt;=0.95,"B","C"))</f>
        <v/>
      </c>
      <c r="H126" s="23" t="n">
        <v>1.133</v>
      </c>
      <c r="I126" s="5" t="inlineStr">
        <is>
          <t>Z</t>
        </is>
      </c>
      <c r="J126" s="5">
        <f>G126&amp;I126</f>
        <v/>
      </c>
    </row>
    <row r="127">
      <c r="A127" s="5" t="inlineStr">
        <is>
          <t>P0043</t>
        </is>
      </c>
      <c r="B127" s="5" t="inlineStr">
        <is>
          <t>Home Item 043</t>
        </is>
      </c>
      <c r="C127" s="5" t="inlineStr">
        <is>
          <t>Home &amp; Kitchen</t>
        </is>
      </c>
      <c r="D127" s="6" t="n">
        <v>10408.57</v>
      </c>
      <c r="E127" s="26">
        <f>D127/SUM($D$5:$D$154)</f>
        <v/>
      </c>
      <c r="F127" s="26">
        <f>SUM($D$5:D127)/SUM($D$5:$D$154)</f>
        <v/>
      </c>
      <c r="G127" s="5">
        <f>IF(F127&lt;=0.8,"A",IF(F127&lt;=0.95,"B","C"))</f>
        <v/>
      </c>
      <c r="H127" s="23" t="n">
        <v>0.666</v>
      </c>
      <c r="I127" s="5" t="inlineStr">
        <is>
          <t>Y</t>
        </is>
      </c>
      <c r="J127" s="5">
        <f>G127&amp;I127</f>
        <v/>
      </c>
    </row>
    <row r="128">
      <c r="A128" s="5" t="inlineStr">
        <is>
          <t>P0039</t>
        </is>
      </c>
      <c r="B128" s="5" t="inlineStr">
        <is>
          <t>Home Item 039</t>
        </is>
      </c>
      <c r="C128" s="5" t="inlineStr">
        <is>
          <t>Home &amp; Kitchen</t>
        </is>
      </c>
      <c r="D128" s="6" t="n">
        <v>9446.09</v>
      </c>
      <c r="E128" s="26">
        <f>D128/SUM($D$5:$D$154)</f>
        <v/>
      </c>
      <c r="F128" s="26">
        <f>SUM($D$5:D128)/SUM($D$5:$D$154)</f>
        <v/>
      </c>
      <c r="G128" s="5">
        <f>IF(F128&lt;=0.8,"A",IF(F128&lt;=0.95,"B","C"))</f>
        <v/>
      </c>
      <c r="H128" s="23" t="n">
        <v>0.605</v>
      </c>
      <c r="I128" s="5" t="inlineStr">
        <is>
          <t>Y</t>
        </is>
      </c>
      <c r="J128" s="5">
        <f>G128&amp;I128</f>
        <v/>
      </c>
    </row>
    <row r="129">
      <c r="A129" s="5" t="inlineStr">
        <is>
          <t>P0026</t>
        </is>
      </c>
      <c r="B129" s="5" t="inlineStr">
        <is>
          <t>Home Item 026</t>
        </is>
      </c>
      <c r="C129" s="5" t="inlineStr">
        <is>
          <t>Home &amp; Kitchen</t>
        </is>
      </c>
      <c r="D129" s="6" t="n">
        <v>9015.43</v>
      </c>
      <c r="E129" s="26">
        <f>D129/SUM($D$5:$D$154)</f>
        <v/>
      </c>
      <c r="F129" s="26">
        <f>SUM($D$5:D129)/SUM($D$5:$D$154)</f>
        <v/>
      </c>
      <c r="G129" s="5">
        <f>IF(F129&lt;=0.8,"A",IF(F129&lt;=0.95,"B","C"))</f>
        <v/>
      </c>
      <c r="H129" s="23" t="n">
        <v>0.48</v>
      </c>
      <c r="I129" s="5" t="inlineStr">
        <is>
          <t>X</t>
        </is>
      </c>
      <c r="J129" s="5">
        <f>G129&amp;I129</f>
        <v/>
      </c>
    </row>
    <row r="130">
      <c r="A130" s="5" t="inlineStr">
        <is>
          <t>P0084</t>
        </is>
      </c>
      <c r="B130" s="5" t="inlineStr">
        <is>
          <t>Office Item 084</t>
        </is>
      </c>
      <c r="C130" s="5" t="inlineStr">
        <is>
          <t>Office Supplies</t>
        </is>
      </c>
      <c r="D130" s="6" t="n">
        <v>8872.959999999999</v>
      </c>
      <c r="E130" s="26">
        <f>D130/SUM($D$5:$D$154)</f>
        <v/>
      </c>
      <c r="F130" s="26">
        <f>SUM($D$5:D130)/SUM($D$5:$D$154)</f>
        <v/>
      </c>
      <c r="G130" s="5">
        <f>IF(F130&lt;=0.8,"A",IF(F130&lt;=0.95,"B","C"))</f>
        <v/>
      </c>
      <c r="H130" s="23" t="n">
        <v>0.268</v>
      </c>
      <c r="I130" s="5" t="inlineStr">
        <is>
          <t>X</t>
        </is>
      </c>
      <c r="J130" s="5">
        <f>G130&amp;I130</f>
        <v/>
      </c>
    </row>
    <row r="131">
      <c r="A131" s="5" t="inlineStr">
        <is>
          <t>P0077</t>
        </is>
      </c>
      <c r="B131" s="5" t="inlineStr">
        <is>
          <t>Outdoor Item 077</t>
        </is>
      </c>
      <c r="C131" s="5" t="inlineStr">
        <is>
          <t>Outdoor &amp; Garden</t>
        </is>
      </c>
      <c r="D131" s="6" t="n">
        <v>8845.360000000001</v>
      </c>
      <c r="E131" s="26">
        <f>D131/SUM($D$5:$D$154)</f>
        <v/>
      </c>
      <c r="F131" s="26">
        <f>SUM($D$5:D131)/SUM($D$5:$D$154)</f>
        <v/>
      </c>
      <c r="G131" s="5">
        <f>IF(F131&lt;=0.8,"A",IF(F131&lt;=0.95,"B","C"))</f>
        <v/>
      </c>
      <c r="H131" s="23" t="n">
        <v>0.649</v>
      </c>
      <c r="I131" s="5" t="inlineStr">
        <is>
          <t>Y</t>
        </is>
      </c>
      <c r="J131" s="5">
        <f>G131&amp;I131</f>
        <v/>
      </c>
    </row>
    <row r="132">
      <c r="A132" s="5" t="inlineStr">
        <is>
          <t>P0037</t>
        </is>
      </c>
      <c r="B132" s="5" t="inlineStr">
        <is>
          <t>Home Item 037</t>
        </is>
      </c>
      <c r="C132" s="5" t="inlineStr">
        <is>
          <t>Home &amp; Kitchen</t>
        </is>
      </c>
      <c r="D132" s="6" t="n">
        <v>7588.31</v>
      </c>
      <c r="E132" s="26">
        <f>D132/SUM($D$5:$D$154)</f>
        <v/>
      </c>
      <c r="F132" s="26">
        <f>SUM($D$5:D132)/SUM($D$5:$D$154)</f>
        <v/>
      </c>
      <c r="G132" s="5">
        <f>IF(F132&lt;=0.8,"A",IF(F132&lt;=0.95,"B","C"))</f>
        <v/>
      </c>
      <c r="H132" s="23" t="n">
        <v>0.695</v>
      </c>
      <c r="I132" s="5" t="inlineStr">
        <is>
          <t>Y</t>
        </is>
      </c>
      <c r="J132" s="5">
        <f>G132&amp;I132</f>
        <v/>
      </c>
    </row>
    <row r="133">
      <c r="A133" s="5" t="inlineStr">
        <is>
          <t>P0145</t>
        </is>
      </c>
      <c r="B133" s="5" t="inlineStr">
        <is>
          <t>Packaging Item 145</t>
        </is>
      </c>
      <c r="C133" s="5" t="inlineStr">
        <is>
          <t>Packaging</t>
        </is>
      </c>
      <c r="D133" s="6" t="n">
        <v>7116.67</v>
      </c>
      <c r="E133" s="26">
        <f>D133/SUM($D$5:$D$154)</f>
        <v/>
      </c>
      <c r="F133" s="26">
        <f>SUM($D$5:D133)/SUM($D$5:$D$154)</f>
        <v/>
      </c>
      <c r="G133" s="5">
        <f>IF(F133&lt;=0.8,"A",IF(F133&lt;=0.95,"B","C"))</f>
        <v/>
      </c>
      <c r="H133" s="23" t="n">
        <v>0.273</v>
      </c>
      <c r="I133" s="5" t="inlineStr">
        <is>
          <t>X</t>
        </is>
      </c>
      <c r="J133" s="5">
        <f>G133&amp;I133</f>
        <v/>
      </c>
    </row>
    <row r="134">
      <c r="A134" s="5" t="inlineStr">
        <is>
          <t>P0100</t>
        </is>
      </c>
      <c r="B134" s="5" t="inlineStr">
        <is>
          <t>Office Item 100</t>
        </is>
      </c>
      <c r="C134" s="5" t="inlineStr">
        <is>
          <t>Office Supplies</t>
        </is>
      </c>
      <c r="D134" s="6" t="n">
        <v>6943.66</v>
      </c>
      <c r="E134" s="26">
        <f>D134/SUM($D$5:$D$154)</f>
        <v/>
      </c>
      <c r="F134" s="26">
        <f>SUM($D$5:D134)/SUM($D$5:$D$154)</f>
        <v/>
      </c>
      <c r="G134" s="5">
        <f>IF(F134&lt;=0.8,"A",IF(F134&lt;=0.95,"B","C"))</f>
        <v/>
      </c>
      <c r="H134" s="23" t="n">
        <v>0.31</v>
      </c>
      <c r="I134" s="5" t="inlineStr">
        <is>
          <t>X</t>
        </is>
      </c>
      <c r="J134" s="5">
        <f>G134&amp;I134</f>
        <v/>
      </c>
    </row>
    <row r="135">
      <c r="A135" s="5" t="inlineStr">
        <is>
          <t>P0127</t>
        </is>
      </c>
      <c r="B135" s="5" t="inlineStr">
        <is>
          <t>Health Item 127</t>
        </is>
      </c>
      <c r="C135" s="5" t="inlineStr">
        <is>
          <t>Health &amp; Safety</t>
        </is>
      </c>
      <c r="D135" s="6" t="n">
        <v>6480.2</v>
      </c>
      <c r="E135" s="26">
        <f>D135/SUM($D$5:$D$154)</f>
        <v/>
      </c>
      <c r="F135" s="26">
        <f>SUM($D$5:D135)/SUM($D$5:$D$154)</f>
        <v/>
      </c>
      <c r="G135" s="5">
        <f>IF(F135&lt;=0.8,"A",IF(F135&lt;=0.95,"B","C"))</f>
        <v/>
      </c>
      <c r="H135" s="23" t="n">
        <v>0.573</v>
      </c>
      <c r="I135" s="5" t="inlineStr">
        <is>
          <t>Y</t>
        </is>
      </c>
      <c r="J135" s="5">
        <f>G135&amp;I135</f>
        <v/>
      </c>
    </row>
    <row r="136">
      <c r="A136" s="5" t="inlineStr">
        <is>
          <t>P0074</t>
        </is>
      </c>
      <c r="B136" s="5" t="inlineStr">
        <is>
          <t>Outdoor Item 074</t>
        </is>
      </c>
      <c r="C136" s="5" t="inlineStr">
        <is>
          <t>Outdoor &amp; Garden</t>
        </is>
      </c>
      <c r="D136" s="6" t="n">
        <v>6210.48</v>
      </c>
      <c r="E136" s="26">
        <f>D136/SUM($D$5:$D$154)</f>
        <v/>
      </c>
      <c r="F136" s="26">
        <f>SUM($D$5:D136)/SUM($D$5:$D$154)</f>
        <v/>
      </c>
      <c r="G136" s="5">
        <f>IF(F136&lt;=0.8,"A",IF(F136&lt;=0.95,"B","C"))</f>
        <v/>
      </c>
      <c r="H136" s="23" t="n">
        <v>0.6899999999999999</v>
      </c>
      <c r="I136" s="5" t="inlineStr">
        <is>
          <t>Y</t>
        </is>
      </c>
      <c r="J136" s="5">
        <f>G136&amp;I136</f>
        <v/>
      </c>
    </row>
    <row r="137">
      <c r="A137" s="5" t="inlineStr">
        <is>
          <t>P0108</t>
        </is>
      </c>
      <c r="B137" s="5" t="inlineStr">
        <is>
          <t>Office Item 108</t>
        </is>
      </c>
      <c r="C137" s="5" t="inlineStr">
        <is>
          <t>Office Supplies</t>
        </is>
      </c>
      <c r="D137" s="6" t="n">
        <v>6112.57</v>
      </c>
      <c r="E137" s="26">
        <f>D137/SUM($D$5:$D$154)</f>
        <v/>
      </c>
      <c r="F137" s="26">
        <f>SUM($D$5:D137)/SUM($D$5:$D$154)</f>
        <v/>
      </c>
      <c r="G137" s="5">
        <f>IF(F137&lt;=0.8,"A",IF(F137&lt;=0.95,"B","C"))</f>
        <v/>
      </c>
      <c r="H137" s="23" t="n">
        <v>0.717</v>
      </c>
      <c r="I137" s="5" t="inlineStr">
        <is>
          <t>Y</t>
        </is>
      </c>
      <c r="J137" s="5">
        <f>G137&amp;I137</f>
        <v/>
      </c>
    </row>
    <row r="138">
      <c r="A138" s="5" t="inlineStr">
        <is>
          <t>P0089</t>
        </is>
      </c>
      <c r="B138" s="5" t="inlineStr">
        <is>
          <t>Office Item 089</t>
        </is>
      </c>
      <c r="C138" s="5" t="inlineStr">
        <is>
          <t>Office Supplies</t>
        </is>
      </c>
      <c r="D138" s="6" t="n">
        <v>5546.63</v>
      </c>
      <c r="E138" s="26">
        <f>D138/SUM($D$5:$D$154)</f>
        <v/>
      </c>
      <c r="F138" s="26">
        <f>SUM($D$5:D138)/SUM($D$5:$D$154)</f>
        <v/>
      </c>
      <c r="G138" s="5">
        <f>IF(F138&lt;=0.8,"A",IF(F138&lt;=0.95,"B","C"))</f>
        <v/>
      </c>
      <c r="H138" s="23" t="n">
        <v>0.482</v>
      </c>
      <c r="I138" s="5" t="inlineStr">
        <is>
          <t>X</t>
        </is>
      </c>
      <c r="J138" s="5">
        <f>G138&amp;I138</f>
        <v/>
      </c>
    </row>
    <row r="139">
      <c r="A139" s="5" t="inlineStr">
        <is>
          <t>P0103</t>
        </is>
      </c>
      <c r="B139" s="5" t="inlineStr">
        <is>
          <t>Office Item 103</t>
        </is>
      </c>
      <c r="C139" s="5" t="inlineStr">
        <is>
          <t>Office Supplies</t>
        </is>
      </c>
      <c r="D139" s="6" t="n">
        <v>5200.81</v>
      </c>
      <c r="E139" s="26">
        <f>D139/SUM($D$5:$D$154)</f>
        <v/>
      </c>
      <c r="F139" s="26">
        <f>SUM($D$5:D139)/SUM($D$5:$D$154)</f>
        <v/>
      </c>
      <c r="G139" s="5">
        <f>IF(F139&lt;=0.8,"A",IF(F139&lt;=0.95,"B","C"))</f>
        <v/>
      </c>
      <c r="H139" s="23" t="n">
        <v>0.734</v>
      </c>
      <c r="I139" s="5" t="inlineStr">
        <is>
          <t>Y</t>
        </is>
      </c>
      <c r="J139" s="5">
        <f>G139&amp;I139</f>
        <v/>
      </c>
    </row>
    <row r="140">
      <c r="A140" s="5" t="inlineStr">
        <is>
          <t>P0122</t>
        </is>
      </c>
      <c r="B140" s="5" t="inlineStr">
        <is>
          <t>Health Item 122</t>
        </is>
      </c>
      <c r="C140" s="5" t="inlineStr">
        <is>
          <t>Health &amp; Safety</t>
        </is>
      </c>
      <c r="D140" s="6" t="n">
        <v>5136.31</v>
      </c>
      <c r="E140" s="26">
        <f>D140/SUM($D$5:$D$154)</f>
        <v/>
      </c>
      <c r="F140" s="26">
        <f>SUM($D$5:D140)/SUM($D$5:$D$154)</f>
        <v/>
      </c>
      <c r="G140" s="5">
        <f>IF(F140&lt;=0.8,"A",IF(F140&lt;=0.95,"B","C"))</f>
        <v/>
      </c>
      <c r="H140" s="23" t="n">
        <v>0.655</v>
      </c>
      <c r="I140" s="5" t="inlineStr">
        <is>
          <t>Y</t>
        </is>
      </c>
      <c r="J140" s="5">
        <f>G140&amp;I140</f>
        <v/>
      </c>
    </row>
    <row r="141">
      <c r="A141" s="5" t="inlineStr">
        <is>
          <t>P0081</t>
        </is>
      </c>
      <c r="B141" s="5" t="inlineStr">
        <is>
          <t>Office Item 081</t>
        </is>
      </c>
      <c r="C141" s="5" t="inlineStr">
        <is>
          <t>Office Supplies</t>
        </is>
      </c>
      <c r="D141" s="6" t="n">
        <v>4817.71</v>
      </c>
      <c r="E141" s="26">
        <f>D141/SUM($D$5:$D$154)</f>
        <v/>
      </c>
      <c r="F141" s="26">
        <f>SUM($D$5:D141)/SUM($D$5:$D$154)</f>
        <v/>
      </c>
      <c r="G141" s="5">
        <f>IF(F141&lt;=0.8,"A",IF(F141&lt;=0.95,"B","C"))</f>
        <v/>
      </c>
      <c r="H141" s="23" t="n">
        <v>0.372</v>
      </c>
      <c r="I141" s="5" t="inlineStr">
        <is>
          <t>X</t>
        </is>
      </c>
      <c r="J141" s="5">
        <f>G141&amp;I141</f>
        <v/>
      </c>
    </row>
    <row r="142">
      <c r="A142" s="5" t="inlineStr">
        <is>
          <t>P0143</t>
        </is>
      </c>
      <c r="B142" s="5" t="inlineStr">
        <is>
          <t>Packaging Item 143</t>
        </is>
      </c>
      <c r="C142" s="5" t="inlineStr">
        <is>
          <t>Packaging</t>
        </is>
      </c>
      <c r="D142" s="6" t="n">
        <v>4716.51</v>
      </c>
      <c r="E142" s="26">
        <f>D142/SUM($D$5:$D$154)</f>
        <v/>
      </c>
      <c r="F142" s="26">
        <f>SUM($D$5:D142)/SUM($D$5:$D$154)</f>
        <v/>
      </c>
      <c r="G142" s="5">
        <f>IF(F142&lt;=0.8,"A",IF(F142&lt;=0.95,"B","C"))</f>
        <v/>
      </c>
      <c r="H142" s="23" t="n">
        <v>0.412</v>
      </c>
      <c r="I142" s="5" t="inlineStr">
        <is>
          <t>X</t>
        </is>
      </c>
      <c r="J142" s="5">
        <f>G142&amp;I142</f>
        <v/>
      </c>
    </row>
    <row r="143">
      <c r="A143" s="5" t="inlineStr">
        <is>
          <t>P0118</t>
        </is>
      </c>
      <c r="B143" s="5" t="inlineStr">
        <is>
          <t>Health Item 118</t>
        </is>
      </c>
      <c r="C143" s="5" t="inlineStr">
        <is>
          <t>Health &amp; Safety</t>
        </is>
      </c>
      <c r="D143" s="6" t="n">
        <v>3973.52</v>
      </c>
      <c r="E143" s="26">
        <f>D143/SUM($D$5:$D$154)</f>
        <v/>
      </c>
      <c r="F143" s="26">
        <f>SUM($D$5:D143)/SUM($D$5:$D$154)</f>
        <v/>
      </c>
      <c r="G143" s="5">
        <f>IF(F143&lt;=0.8,"A",IF(F143&lt;=0.95,"B","C"))</f>
        <v/>
      </c>
      <c r="H143" s="23" t="n">
        <v>0.637</v>
      </c>
      <c r="I143" s="5" t="inlineStr">
        <is>
          <t>Y</t>
        </is>
      </c>
      <c r="J143" s="5">
        <f>G143&amp;I143</f>
        <v/>
      </c>
    </row>
    <row r="144">
      <c r="A144" s="5" t="inlineStr">
        <is>
          <t>P0107</t>
        </is>
      </c>
      <c r="B144" s="5" t="inlineStr">
        <is>
          <t>Office Item 107</t>
        </is>
      </c>
      <c r="C144" s="5" t="inlineStr">
        <is>
          <t>Office Supplies</t>
        </is>
      </c>
      <c r="D144" s="6" t="n">
        <v>3881.66</v>
      </c>
      <c r="E144" s="26">
        <f>D144/SUM($D$5:$D$154)</f>
        <v/>
      </c>
      <c r="F144" s="26">
        <f>SUM($D$5:D144)/SUM($D$5:$D$154)</f>
        <v/>
      </c>
      <c r="G144" s="5">
        <f>IF(F144&lt;=0.8,"A",IF(F144&lt;=0.95,"B","C"))</f>
        <v/>
      </c>
      <c r="H144" s="23" t="n">
        <v>0.502</v>
      </c>
      <c r="I144" s="5" t="inlineStr">
        <is>
          <t>Y</t>
        </is>
      </c>
      <c r="J144" s="5">
        <f>G144&amp;I144</f>
        <v/>
      </c>
    </row>
    <row r="145">
      <c r="A145" s="5" t="inlineStr">
        <is>
          <t>P0147</t>
        </is>
      </c>
      <c r="B145" s="5" t="inlineStr">
        <is>
          <t>Packaging Item 147</t>
        </is>
      </c>
      <c r="C145" s="5" t="inlineStr">
        <is>
          <t>Packaging</t>
        </is>
      </c>
      <c r="D145" s="6" t="n">
        <v>3680.67</v>
      </c>
      <c r="E145" s="26">
        <f>D145/SUM($D$5:$D$154)</f>
        <v/>
      </c>
      <c r="F145" s="26">
        <f>SUM($D$5:D145)/SUM($D$5:$D$154)</f>
        <v/>
      </c>
      <c r="G145" s="5">
        <f>IF(F145&lt;=0.8,"A",IF(F145&lt;=0.95,"B","C"))</f>
        <v/>
      </c>
      <c r="H145" s="23" t="n">
        <v>0.384</v>
      </c>
      <c r="I145" s="5" t="inlineStr">
        <is>
          <t>X</t>
        </is>
      </c>
      <c r="J145" s="5">
        <f>G145&amp;I145</f>
        <v/>
      </c>
    </row>
    <row r="146">
      <c r="A146" s="5" t="inlineStr">
        <is>
          <t>P0138</t>
        </is>
      </c>
      <c r="B146" s="5" t="inlineStr">
        <is>
          <t>Packaging Item 138</t>
        </is>
      </c>
      <c r="C146" s="5" t="inlineStr">
        <is>
          <t>Packaging</t>
        </is>
      </c>
      <c r="D146" s="6" t="n">
        <v>3253.89</v>
      </c>
      <c r="E146" s="26">
        <f>D146/SUM($D$5:$D$154)</f>
        <v/>
      </c>
      <c r="F146" s="26">
        <f>SUM($D$5:D146)/SUM($D$5:$D$154)</f>
        <v/>
      </c>
      <c r="G146" s="5">
        <f>IF(F146&lt;=0.8,"A",IF(F146&lt;=0.95,"B","C"))</f>
        <v/>
      </c>
      <c r="H146" s="23" t="n">
        <v>0.613</v>
      </c>
      <c r="I146" s="5" t="inlineStr">
        <is>
          <t>Y</t>
        </is>
      </c>
      <c r="J146" s="5">
        <f>G146&amp;I146</f>
        <v/>
      </c>
    </row>
    <row r="147">
      <c r="A147" s="5" t="inlineStr">
        <is>
          <t>P0134</t>
        </is>
      </c>
      <c r="B147" s="5" t="inlineStr">
        <is>
          <t>Packaging Item 134</t>
        </is>
      </c>
      <c r="C147" s="5" t="inlineStr">
        <is>
          <t>Packaging</t>
        </is>
      </c>
      <c r="D147" s="6" t="n">
        <v>2906.15</v>
      </c>
      <c r="E147" s="26">
        <f>D147/SUM($D$5:$D$154)</f>
        <v/>
      </c>
      <c r="F147" s="26">
        <f>SUM($D$5:D147)/SUM($D$5:$D$154)</f>
        <v/>
      </c>
      <c r="G147" s="5">
        <f>IF(F147&lt;=0.8,"A",IF(F147&lt;=0.95,"B","C"))</f>
        <v/>
      </c>
      <c r="H147" s="23" t="n">
        <v>0.32</v>
      </c>
      <c r="I147" s="5" t="inlineStr">
        <is>
          <t>X</t>
        </is>
      </c>
      <c r="J147" s="5">
        <f>G147&amp;I147</f>
        <v/>
      </c>
    </row>
    <row r="148">
      <c r="A148" s="5" t="inlineStr">
        <is>
          <t>P0132</t>
        </is>
      </c>
      <c r="B148" s="5" t="inlineStr">
        <is>
          <t>Packaging Item 132</t>
        </is>
      </c>
      <c r="C148" s="5" t="inlineStr">
        <is>
          <t>Packaging</t>
        </is>
      </c>
      <c r="D148" s="6" t="n">
        <v>2472.3</v>
      </c>
      <c r="E148" s="26">
        <f>D148/SUM($D$5:$D$154)</f>
        <v/>
      </c>
      <c r="F148" s="26">
        <f>SUM($D$5:D148)/SUM($D$5:$D$154)</f>
        <v/>
      </c>
      <c r="G148" s="5">
        <f>IF(F148&lt;=0.8,"A",IF(F148&lt;=0.95,"B","C"))</f>
        <v/>
      </c>
      <c r="H148" s="23" t="n">
        <v>0.357</v>
      </c>
      <c r="I148" s="5" t="inlineStr">
        <is>
          <t>X</t>
        </is>
      </c>
      <c r="J148" s="5">
        <f>G148&amp;I148</f>
        <v/>
      </c>
    </row>
    <row r="149">
      <c r="A149" s="5" t="inlineStr">
        <is>
          <t>P0104</t>
        </is>
      </c>
      <c r="B149" s="5" t="inlineStr">
        <is>
          <t>Office Item 104</t>
        </is>
      </c>
      <c r="C149" s="5" t="inlineStr">
        <is>
          <t>Office Supplies</t>
        </is>
      </c>
      <c r="D149" s="6" t="n">
        <v>2356.1</v>
      </c>
      <c r="E149" s="26">
        <f>D149/SUM($D$5:$D$154)</f>
        <v/>
      </c>
      <c r="F149" s="26">
        <f>SUM($D$5:D149)/SUM($D$5:$D$154)</f>
        <v/>
      </c>
      <c r="G149" s="5">
        <f>IF(F149&lt;=0.8,"A",IF(F149&lt;=0.95,"B","C"))</f>
        <v/>
      </c>
      <c r="H149" s="23" t="n">
        <v>0.435</v>
      </c>
      <c r="I149" s="5" t="inlineStr">
        <is>
          <t>X</t>
        </is>
      </c>
      <c r="J149" s="5">
        <f>G149&amp;I149</f>
        <v/>
      </c>
    </row>
    <row r="150">
      <c r="A150" s="5" t="inlineStr">
        <is>
          <t>P0139</t>
        </is>
      </c>
      <c r="B150" s="5" t="inlineStr">
        <is>
          <t>Packaging Item 139</t>
        </is>
      </c>
      <c r="C150" s="5" t="inlineStr">
        <is>
          <t>Packaging</t>
        </is>
      </c>
      <c r="D150" s="6" t="n">
        <v>2306.97</v>
      </c>
      <c r="E150" s="26">
        <f>D150/SUM($D$5:$D$154)</f>
        <v/>
      </c>
      <c r="F150" s="26">
        <f>SUM($D$5:D150)/SUM($D$5:$D$154)</f>
        <v/>
      </c>
      <c r="G150" s="5">
        <f>IF(F150&lt;=0.8,"A",IF(F150&lt;=0.95,"B","C"))</f>
        <v/>
      </c>
      <c r="H150" s="23" t="n">
        <v>0.596</v>
      </c>
      <c r="I150" s="5" t="inlineStr">
        <is>
          <t>Y</t>
        </is>
      </c>
      <c r="J150" s="5">
        <f>G150&amp;I150</f>
        <v/>
      </c>
    </row>
    <row r="151">
      <c r="A151" s="5" t="inlineStr">
        <is>
          <t>P0097</t>
        </is>
      </c>
      <c r="B151" s="5" t="inlineStr">
        <is>
          <t>Office Item 097</t>
        </is>
      </c>
      <c r="C151" s="5" t="inlineStr">
        <is>
          <t>Office Supplies</t>
        </is>
      </c>
      <c r="D151" s="6" t="n">
        <v>2176.23</v>
      </c>
      <c r="E151" s="26">
        <f>D151/SUM($D$5:$D$154)</f>
        <v/>
      </c>
      <c r="F151" s="26">
        <f>SUM($D$5:D151)/SUM($D$5:$D$154)</f>
        <v/>
      </c>
      <c r="G151" s="5">
        <f>IF(F151&lt;=0.8,"A",IF(F151&lt;=0.95,"B","C"))</f>
        <v/>
      </c>
      <c r="H151" s="23" t="n">
        <v>0.437</v>
      </c>
      <c r="I151" s="5" t="inlineStr">
        <is>
          <t>X</t>
        </is>
      </c>
      <c r="J151" s="5">
        <f>G151&amp;I151</f>
        <v/>
      </c>
    </row>
    <row r="152">
      <c r="A152" s="5" t="inlineStr">
        <is>
          <t>P0135</t>
        </is>
      </c>
      <c r="B152" s="5" t="inlineStr">
        <is>
          <t>Packaging Item 135</t>
        </is>
      </c>
      <c r="C152" s="5" t="inlineStr">
        <is>
          <t>Packaging</t>
        </is>
      </c>
      <c r="D152" s="6" t="n">
        <v>1938</v>
      </c>
      <c r="E152" s="26">
        <f>D152/SUM($D$5:$D$154)</f>
        <v/>
      </c>
      <c r="F152" s="26">
        <f>SUM($D$5:D152)/SUM($D$5:$D$154)</f>
        <v/>
      </c>
      <c r="G152" s="5">
        <f>IF(F152&lt;=0.8,"A",IF(F152&lt;=0.95,"B","C"))</f>
        <v/>
      </c>
      <c r="H152" s="23" t="n">
        <v>0.616</v>
      </c>
      <c r="I152" s="5" t="inlineStr">
        <is>
          <t>Y</t>
        </is>
      </c>
      <c r="J152" s="5">
        <f>G152&amp;I152</f>
        <v/>
      </c>
    </row>
    <row r="153">
      <c r="A153" s="5" t="inlineStr">
        <is>
          <t>P0083</t>
        </is>
      </c>
      <c r="B153" s="5" t="inlineStr">
        <is>
          <t>Office Item 083</t>
        </is>
      </c>
      <c r="C153" s="5" t="inlineStr">
        <is>
          <t>Office Supplies</t>
        </is>
      </c>
      <c r="D153" s="6" t="n">
        <v>1284.18</v>
      </c>
      <c r="E153" s="26">
        <f>D153/SUM($D$5:$D$154)</f>
        <v/>
      </c>
      <c r="F153" s="26">
        <f>SUM($D$5:D153)/SUM($D$5:$D$154)</f>
        <v/>
      </c>
      <c r="G153" s="5">
        <f>IF(F153&lt;=0.8,"A",IF(F153&lt;=0.95,"B","C"))</f>
        <v/>
      </c>
      <c r="H153" s="23" t="n">
        <v>0.593</v>
      </c>
      <c r="I153" s="5" t="inlineStr">
        <is>
          <t>Y</t>
        </is>
      </c>
      <c r="J153" s="5">
        <f>G153&amp;I153</f>
        <v/>
      </c>
    </row>
    <row r="154">
      <c r="A154" s="5" t="inlineStr">
        <is>
          <t>P0146</t>
        </is>
      </c>
      <c r="B154" s="5" t="inlineStr">
        <is>
          <t>Packaging Item 146</t>
        </is>
      </c>
      <c r="C154" s="5" t="inlineStr">
        <is>
          <t>Packaging</t>
        </is>
      </c>
      <c r="D154" s="6" t="n">
        <v>516.71</v>
      </c>
      <c r="E154" s="26">
        <f>D154/SUM($D$5:$D$154)</f>
        <v/>
      </c>
      <c r="F154" s="26">
        <f>SUM($D$5:D154)/SUM($D$5:$D$154)</f>
        <v/>
      </c>
      <c r="G154" s="5">
        <f>IF(F154&lt;=0.8,"A",IF(F154&lt;=0.95,"B","C"))</f>
        <v/>
      </c>
      <c r="H154" s="23" t="n">
        <v>0.923</v>
      </c>
      <c r="I154" s="5" t="inlineStr">
        <is>
          <t>Y</t>
        </is>
      </c>
      <c r="J154" s="5">
        <f>G154&amp;I154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10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2" customWidth="1" min="12" max="12"/>
    <col width="13" customWidth="1" min="13" max="13"/>
    <col width="12" customWidth="1" min="14" max="14"/>
  </cols>
  <sheetData>
    <row r="1">
      <c r="A1" s="1" t="inlineStr">
        <is>
          <t>Supplier Scorecard (2024-2025, received POs)</t>
        </is>
      </c>
    </row>
    <row r="2">
      <c r="A2" s="2" t="inlineStr">
        <is>
          <t>Sorted worst OTIF first. Lead-time gap = actual minus promised.</t>
        </is>
      </c>
    </row>
    <row r="4" ht="32" customHeight="1">
      <c r="A4" s="15" t="inlineStr">
        <is>
          <t>Supplier ID</t>
        </is>
      </c>
      <c r="B4" s="15" t="inlineStr">
        <is>
          <t>Supplier</t>
        </is>
      </c>
      <c r="C4" s="15" t="inlineStr">
        <is>
          <t>Country</t>
        </is>
      </c>
      <c r="D4" s="15" t="inlineStr">
        <is>
          <t>POs received</t>
        </is>
      </c>
      <c r="E4" s="15" t="inlineStr">
        <is>
          <t>Promised LT (days)</t>
        </is>
      </c>
      <c r="F4" s="15" t="inlineStr">
        <is>
          <t>Actual LT (days)</t>
        </is>
      </c>
      <c r="G4" s="15" t="inlineStr">
        <is>
          <t>LT gap (days)</t>
        </is>
      </c>
      <c r="H4" s="15" t="inlineStr">
        <is>
          <t>LT std dev</t>
        </is>
      </c>
      <c r="I4" s="15" t="inlineStr">
        <is>
          <t>On-time %</t>
        </is>
      </c>
      <c r="J4" s="15" t="inlineStr">
        <is>
          <t>In-full %</t>
        </is>
      </c>
      <c r="K4" s="15" t="inlineStr">
        <is>
          <t>OTIF %</t>
        </is>
      </c>
      <c r="L4" s="15" t="inlineStr">
        <is>
          <t>Avg days late (when late)</t>
        </is>
      </c>
      <c r="M4" s="15" t="inlineStr">
        <is>
          <t>Spend ($)</t>
        </is>
      </c>
      <c r="N4" s="15" t="inlineStr">
        <is>
          <t>Rating</t>
        </is>
      </c>
    </row>
    <row r="5">
      <c r="A5" s="5" t="inlineStr">
        <is>
          <t>S04</t>
        </is>
      </c>
      <c r="B5" s="5" t="inlineStr">
        <is>
          <t>Pacific Rim Trading</t>
        </is>
      </c>
      <c r="C5" s="5" t="inlineStr">
        <is>
          <t>China</t>
        </is>
      </c>
      <c r="D5" s="31" t="n">
        <v>70</v>
      </c>
      <c r="E5" s="25" t="n">
        <v>35</v>
      </c>
      <c r="F5" s="24" t="n">
        <v>39.6</v>
      </c>
      <c r="G5" s="32">
        <f>F5-E5</f>
        <v/>
      </c>
      <c r="H5" s="24" t="n">
        <v>7.2</v>
      </c>
      <c r="I5" s="8" t="n">
        <v>0.429</v>
      </c>
      <c r="J5" s="8" t="n">
        <v>0.9</v>
      </c>
      <c r="K5" s="8" t="n">
        <v>0.386</v>
      </c>
      <c r="L5" s="24" t="n">
        <v>8.4</v>
      </c>
      <c r="M5" s="6" t="n">
        <v>513738</v>
      </c>
      <c r="N5" s="20">
        <f>IF(K5&lt;0.45,"Critical",IF(K5&lt;0.55,"Needs review","Acceptable"))</f>
        <v/>
      </c>
    </row>
    <row r="6">
      <c r="A6" s="5" t="inlineStr">
        <is>
          <t>S09</t>
        </is>
      </c>
      <c r="B6" s="5" t="inlineStr">
        <is>
          <t>Summit Packaging</t>
        </is>
      </c>
      <c r="C6" s="5" t="inlineStr">
        <is>
          <t>USA</t>
        </is>
      </c>
      <c r="D6" s="31" t="n">
        <v>196</v>
      </c>
      <c r="E6" s="25" t="n">
        <v>11</v>
      </c>
      <c r="F6" s="24" t="n">
        <v>13.1</v>
      </c>
      <c r="G6" s="32">
        <f>F6-E6</f>
        <v/>
      </c>
      <c r="H6" s="24" t="n">
        <v>3.8</v>
      </c>
      <c r="I6" s="8" t="n">
        <v>0.469</v>
      </c>
      <c r="J6" s="8" t="n">
        <v>0.862</v>
      </c>
      <c r="K6" s="8" t="n">
        <v>0.408</v>
      </c>
      <c r="L6" s="24" t="n">
        <v>4.4</v>
      </c>
      <c r="M6" s="6" t="n">
        <v>1635559</v>
      </c>
      <c r="N6" s="20">
        <f>IF(K6&lt;0.45,"Critical",IF(K6&lt;0.55,"Needs review","Acceptable"))</f>
        <v/>
      </c>
    </row>
    <row r="7">
      <c r="A7" s="5" t="inlineStr">
        <is>
          <t>S06</t>
        </is>
      </c>
      <c r="B7" s="5" t="inlineStr">
        <is>
          <t>Prairie Distributors</t>
        </is>
      </c>
      <c r="C7" s="5" t="inlineStr">
        <is>
          <t>Canada</t>
        </is>
      </c>
      <c r="D7" s="31" t="n">
        <v>321</v>
      </c>
      <c r="E7" s="25" t="n">
        <v>12</v>
      </c>
      <c r="F7" s="24" t="n">
        <v>13.3</v>
      </c>
      <c r="G7" s="32">
        <f>F7-E7</f>
        <v/>
      </c>
      <c r="H7" s="24" t="n">
        <v>2.8</v>
      </c>
      <c r="I7" s="8" t="n">
        <v>0.536</v>
      </c>
      <c r="J7" s="8" t="n">
        <v>0.919</v>
      </c>
      <c r="K7" s="8" t="n">
        <v>0.492</v>
      </c>
      <c r="L7" s="24" t="n">
        <v>3.3</v>
      </c>
      <c r="M7" s="6" t="n">
        <v>1073375</v>
      </c>
      <c r="N7" s="20">
        <f>IF(K7&lt;0.45,"Critical",IF(K7&lt;0.55,"Needs review","Acceptable"))</f>
        <v/>
      </c>
    </row>
    <row r="8">
      <c r="A8" s="5" t="inlineStr">
        <is>
          <t>S07</t>
        </is>
      </c>
      <c r="B8" s="5" t="inlineStr">
        <is>
          <t>Atlantic Imports</t>
        </is>
      </c>
      <c r="C8" s="5" t="inlineStr">
        <is>
          <t>USA</t>
        </is>
      </c>
      <c r="D8" s="31" t="n">
        <v>276</v>
      </c>
      <c r="E8" s="25" t="n">
        <v>14</v>
      </c>
      <c r="F8" s="24" t="n">
        <v>14.7</v>
      </c>
      <c r="G8" s="32">
        <f>F8-E8</f>
        <v/>
      </c>
      <c r="H8" s="24" t="n">
        <v>2.1</v>
      </c>
      <c r="I8" s="8" t="n">
        <v>0.5620000000000001</v>
      </c>
      <c r="J8" s="8" t="n">
        <v>0.9350000000000001</v>
      </c>
      <c r="K8" s="8" t="n">
        <v>0.529</v>
      </c>
      <c r="L8" s="24" t="n">
        <v>2.3</v>
      </c>
      <c r="M8" s="6" t="n">
        <v>1441689</v>
      </c>
      <c r="N8" s="20">
        <f>IF(K8&lt;0.45,"Critical",IF(K8&lt;0.55,"Needs review","Acceptable"))</f>
        <v/>
      </c>
    </row>
    <row r="9">
      <c r="A9" s="5" t="inlineStr">
        <is>
          <t>S02</t>
        </is>
      </c>
      <c r="B9" s="5" t="inlineStr">
        <is>
          <t>Great Lakes Supply</t>
        </is>
      </c>
      <c r="C9" s="5" t="inlineStr">
        <is>
          <t>Canada</t>
        </is>
      </c>
      <c r="D9" s="31" t="n">
        <v>262</v>
      </c>
      <c r="E9" s="25" t="n">
        <v>10</v>
      </c>
      <c r="F9" s="24" t="n">
        <v>10.4</v>
      </c>
      <c r="G9" s="32">
        <f>F9-E9</f>
        <v/>
      </c>
      <c r="H9" s="24" t="n">
        <v>1.5</v>
      </c>
      <c r="I9" s="8" t="n">
        <v>0.5760000000000001</v>
      </c>
      <c r="J9" s="8" t="n">
        <v>0.9390000000000001</v>
      </c>
      <c r="K9" s="8" t="n">
        <v>0.5379999999999999</v>
      </c>
      <c r="L9" s="24" t="n">
        <v>1.8</v>
      </c>
      <c r="M9" s="6" t="n">
        <v>1292572</v>
      </c>
      <c r="N9" s="20">
        <f>IF(K9&lt;0.45,"Critical",IF(K9&lt;0.55,"Needs review","Acceptable"))</f>
        <v/>
      </c>
    </row>
    <row r="10">
      <c r="A10" s="5" t="inlineStr">
        <is>
          <t>S03</t>
        </is>
      </c>
      <c r="B10" s="5" t="inlineStr">
        <is>
          <t>Rideau Wholesale</t>
        </is>
      </c>
      <c r="C10" s="5" t="inlineStr">
        <is>
          <t>Canada</t>
        </is>
      </c>
      <c r="D10" s="31" t="n">
        <v>129</v>
      </c>
      <c r="E10" s="25" t="n">
        <v>5</v>
      </c>
      <c r="F10" s="24" t="n">
        <v>5.1</v>
      </c>
      <c r="G10" s="32">
        <f>F10-E10</f>
        <v/>
      </c>
      <c r="H10" s="24" t="n">
        <v>0.8</v>
      </c>
      <c r="I10" s="8" t="n">
        <v>0.581</v>
      </c>
      <c r="J10" s="8" t="n">
        <v>0.9840000000000001</v>
      </c>
      <c r="K10" s="8" t="n">
        <v>0.581</v>
      </c>
      <c r="L10" s="24" t="n">
        <v>1</v>
      </c>
      <c r="M10" s="6" t="n">
        <v>829466</v>
      </c>
      <c r="N10" s="20">
        <f>IF(K10&lt;0.45,"Critical",IF(K10&lt;0.55,"Needs review","Acceptable"))</f>
        <v/>
      </c>
    </row>
    <row r="11">
      <c r="A11" s="5" t="inlineStr">
        <is>
          <t>S01</t>
        </is>
      </c>
      <c r="B11" s="5" t="inlineStr">
        <is>
          <t>Maple Industrial</t>
        </is>
      </c>
      <c r="C11" s="5" t="inlineStr">
        <is>
          <t>Canada</t>
        </is>
      </c>
      <c r="D11" s="31" t="n">
        <v>161</v>
      </c>
      <c r="E11" s="25" t="n">
        <v>7</v>
      </c>
      <c r="F11" s="24" t="n">
        <v>7.1</v>
      </c>
      <c r="G11" s="32">
        <f>F11-E11</f>
        <v/>
      </c>
      <c r="H11" s="24" t="n">
        <v>1</v>
      </c>
      <c r="I11" s="8" t="n">
        <v>0.602</v>
      </c>
      <c r="J11" s="8" t="n">
        <v>0.9690000000000001</v>
      </c>
      <c r="K11" s="8" t="n">
        <v>0.59</v>
      </c>
      <c r="L11" s="24" t="n">
        <v>1.2</v>
      </c>
      <c r="M11" s="6" t="n">
        <v>2940245</v>
      </c>
      <c r="N11" s="20">
        <f>IF(K11&lt;0.45,"Critical",IF(K11&lt;0.55,"Needs review","Acceptable"))</f>
        <v/>
      </c>
    </row>
    <row r="12">
      <c r="A12" s="5" t="inlineStr">
        <is>
          <t>S08</t>
        </is>
      </c>
      <c r="B12" s="5" t="inlineStr">
        <is>
          <t>Northern Parts Co.</t>
        </is>
      </c>
      <c r="C12" s="5" t="inlineStr">
        <is>
          <t>Canada</t>
        </is>
      </c>
      <c r="D12" s="31" t="n">
        <v>167</v>
      </c>
      <c r="E12" s="25" t="n">
        <v>9</v>
      </c>
      <c r="F12" s="24" t="n">
        <v>9.1</v>
      </c>
      <c r="G12" s="32">
        <f>F12-E12</f>
        <v/>
      </c>
      <c r="H12" s="24" t="n">
        <v>1</v>
      </c>
      <c r="I12" s="8" t="n">
        <v>0.611</v>
      </c>
      <c r="J12" s="8" t="n">
        <v>0.9640000000000001</v>
      </c>
      <c r="K12" s="8" t="n">
        <v>0.593</v>
      </c>
      <c r="L12" s="24" t="n">
        <v>1.2</v>
      </c>
      <c r="M12" s="6" t="n">
        <v>214610</v>
      </c>
      <c r="N12" s="20">
        <f>IF(K12&lt;0.45,"Critical",IF(K12&lt;0.55,"Needs review","Acceptable"))</f>
        <v/>
      </c>
    </row>
    <row r="13">
      <c r="A13" s="5" t="inlineStr">
        <is>
          <t>S10</t>
        </is>
      </c>
      <c r="B13" s="5" t="inlineStr">
        <is>
          <t>Capital Sourcing</t>
        </is>
      </c>
      <c r="C13" s="5" t="inlineStr">
        <is>
          <t>Mexico</t>
        </is>
      </c>
      <c r="D13" s="31" t="n">
        <v>222</v>
      </c>
      <c r="E13" s="25" t="n">
        <v>21</v>
      </c>
      <c r="F13" s="24" t="n">
        <v>21.9</v>
      </c>
      <c r="G13" s="32">
        <f>F13-E13</f>
        <v/>
      </c>
      <c r="H13" s="24" t="n">
        <v>2.9</v>
      </c>
      <c r="I13" s="8" t="n">
        <v>0.626</v>
      </c>
      <c r="J13" s="8" t="n">
        <v>0.9370000000000001</v>
      </c>
      <c r="K13" s="8" t="n">
        <v>0.604</v>
      </c>
      <c r="L13" s="24" t="n">
        <v>3.1</v>
      </c>
      <c r="M13" s="6" t="n">
        <v>888086</v>
      </c>
      <c r="N13" s="20">
        <f>IF(K13&lt;0.45,"Critical",IF(K13&lt;0.55,"Needs review","Acceptable"))</f>
        <v/>
      </c>
    </row>
    <row r="14">
      <c r="A14" s="5" t="inlineStr">
        <is>
          <t>S05</t>
        </is>
      </c>
      <c r="B14" s="5" t="inlineStr">
        <is>
          <t>Laurentian Goods</t>
        </is>
      </c>
      <c r="C14" s="5" t="inlineStr">
        <is>
          <t>Canada</t>
        </is>
      </c>
      <c r="D14" s="31" t="n">
        <v>210</v>
      </c>
      <c r="E14" s="25" t="n">
        <v>8</v>
      </c>
      <c r="F14" s="24" t="n">
        <v>8.199999999999999</v>
      </c>
      <c r="G14" s="32">
        <f>F14-E14</f>
        <v/>
      </c>
      <c r="H14" s="24" t="n">
        <v>1.1</v>
      </c>
      <c r="I14" s="8" t="n">
        <v>0.633</v>
      </c>
      <c r="J14" s="8" t="n">
        <v>0.99</v>
      </c>
      <c r="K14" s="8" t="n">
        <v>0.624</v>
      </c>
      <c r="L14" s="24" t="n">
        <v>1.4</v>
      </c>
      <c r="M14" s="6" t="n">
        <v>994243</v>
      </c>
      <c r="N14" s="20">
        <f>IF(K14&lt;0.45,"Critical",IF(K14&lt;0.55,"Needs review","Acceptable"))</f>
        <v/>
      </c>
    </row>
  </sheetData>
  <conditionalFormatting sqref="N5:N14">
    <cfRule type="cellIs" priority="1" operator="equal" dxfId="2">
      <formula>"Critical"</formula>
    </cfRule>
    <cfRule type="cellIs" priority="2" operator="equal" dxfId="3">
      <formula>"Needs review"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6" customWidth="1" min="4" max="4"/>
    <col width="9" customWidth="1" min="5" max="5"/>
    <col width="10" customWidth="1" min="6" max="6"/>
    <col width="10" customWidth="1" min="7" max="7"/>
    <col width="10" customWidth="1" min="8" max="8"/>
    <col width="10" customWidth="1" min="9" max="9"/>
    <col width="14" customWidth="1" min="10" max="10"/>
    <col width="9" customWidth="1" min="11" max="11"/>
    <col width="10" customWidth="1" min="12" max="12"/>
  </cols>
  <sheetData>
    <row r="1">
      <c r="A1" s="1" t="inlineStr">
        <is>
          <t>Stockout Impact by Product (2024-2025)</t>
        </is>
      </c>
    </row>
    <row r="2">
      <c r="A2" s="2" t="inlineStr">
        <is>
          <t>Lost units = demand that arrived while the product was out of stock.</t>
        </is>
      </c>
    </row>
    <row r="4" ht="32" customHeight="1">
      <c r="A4" s="15" t="inlineStr">
        <is>
          <t>Product ID</t>
        </is>
      </c>
      <c r="B4" s="15" t="inlineStr">
        <is>
          <t>Product</t>
        </is>
      </c>
      <c r="C4" s="15" t="inlineStr">
        <is>
          <t>Category</t>
        </is>
      </c>
      <c r="D4" s="15" t="inlineStr">
        <is>
          <t>ABC</t>
        </is>
      </c>
      <c r="E4" s="15" t="inlineStr">
        <is>
          <t>Supplier</t>
        </is>
      </c>
      <c r="F4" s="15" t="inlineStr">
        <is>
          <t>Stockout days</t>
        </is>
      </c>
      <c r="G4" s="15" t="inlineStr">
        <is>
          <t>Stockout rate</t>
        </is>
      </c>
      <c r="H4" s="15" t="inlineStr">
        <is>
          <t>Lost units</t>
        </is>
      </c>
      <c r="I4" s="15" t="inlineStr">
        <is>
          <t>Unit price ($)</t>
        </is>
      </c>
      <c r="J4" s="15" t="inlineStr">
        <is>
          <t>Est. lost revenue ($)</t>
        </is>
      </c>
      <c r="K4" s="15" t="inlineStr">
        <is>
          <t>Turnover</t>
        </is>
      </c>
      <c r="L4" s="15" t="inlineStr">
        <is>
          <t>Days of inventory</t>
        </is>
      </c>
    </row>
    <row r="5">
      <c r="A5" s="5" t="inlineStr">
        <is>
          <t>P0067</t>
        </is>
      </c>
      <c r="B5" s="5" t="inlineStr">
        <is>
          <t>Outdoor Item 067</t>
        </is>
      </c>
      <c r="C5" s="5" t="inlineStr">
        <is>
          <t>Outdoor &amp; Garden</t>
        </is>
      </c>
      <c r="D5" s="5" t="inlineStr">
        <is>
          <t>A</t>
        </is>
      </c>
      <c r="E5" s="5" t="inlineStr">
        <is>
          <t>S05</t>
        </is>
      </c>
      <c r="F5" s="25" t="n">
        <v>146</v>
      </c>
      <c r="G5" s="8" t="n">
        <v>0.2</v>
      </c>
      <c r="H5" s="25" t="n">
        <v>4644</v>
      </c>
      <c r="I5" s="22" t="n">
        <v>80.23999999999999</v>
      </c>
      <c r="J5" s="29">
        <f>H5*I5</f>
        <v/>
      </c>
      <c r="K5" s="32" t="n">
        <v>35.402</v>
      </c>
      <c r="L5" s="28" t="n">
        <v>10.31</v>
      </c>
    </row>
    <row r="6">
      <c r="A6" s="5" t="inlineStr">
        <is>
          <t>P0064</t>
        </is>
      </c>
      <c r="B6" s="5" t="inlineStr">
        <is>
          <t>Outdoor Item 064</t>
        </is>
      </c>
      <c r="C6" s="5" t="inlineStr">
        <is>
          <t>Outdoor &amp; Garden</t>
        </is>
      </c>
      <c r="D6" s="5" t="inlineStr">
        <is>
          <t>A</t>
        </is>
      </c>
      <c r="E6" s="5" t="inlineStr">
        <is>
          <t>S07</t>
        </is>
      </c>
      <c r="F6" s="25" t="n">
        <v>205</v>
      </c>
      <c r="G6" s="8" t="n">
        <v>0.28</v>
      </c>
      <c r="H6" s="25" t="n">
        <v>1259</v>
      </c>
      <c r="I6" s="22" t="n">
        <v>220.66</v>
      </c>
      <c r="J6" s="29">
        <f>H6*I6</f>
        <v/>
      </c>
      <c r="K6" s="32" t="n">
        <v>38.85</v>
      </c>
      <c r="L6" s="28" t="n">
        <v>9.395</v>
      </c>
    </row>
    <row r="7">
      <c r="A7" s="5" t="inlineStr">
        <is>
          <t>P0070</t>
        </is>
      </c>
      <c r="B7" s="5" t="inlineStr">
        <is>
          <t>Outdoor Item 070</t>
        </is>
      </c>
      <c r="C7" s="5" t="inlineStr">
        <is>
          <t>Outdoor &amp; Garden</t>
        </is>
      </c>
      <c r="D7" s="5" t="inlineStr">
        <is>
          <t>A</t>
        </is>
      </c>
      <c r="E7" s="5" t="inlineStr">
        <is>
          <t>S06</t>
        </is>
      </c>
      <c r="F7" s="25" t="n">
        <v>193</v>
      </c>
      <c r="G7" s="8" t="n">
        <v>0.264</v>
      </c>
      <c r="H7" s="25" t="n">
        <v>2146</v>
      </c>
      <c r="I7" s="22" t="n">
        <v>82.52</v>
      </c>
      <c r="J7" s="29">
        <f>H7*I7</f>
        <v/>
      </c>
      <c r="K7" s="32" t="n">
        <v>51.386</v>
      </c>
      <c r="L7" s="28" t="n">
        <v>7.103</v>
      </c>
    </row>
    <row r="8">
      <c r="A8" s="5" t="inlineStr">
        <is>
          <t>P0018</t>
        </is>
      </c>
      <c r="B8" s="5" t="inlineStr">
        <is>
          <t>Electronics Item 018</t>
        </is>
      </c>
      <c r="C8" s="5" t="inlineStr">
        <is>
          <t>Electronics</t>
        </is>
      </c>
      <c r="D8" s="5" t="inlineStr">
        <is>
          <t>A</t>
        </is>
      </c>
      <c r="E8" s="5" t="inlineStr">
        <is>
          <t>S02</t>
        </is>
      </c>
      <c r="F8" s="25" t="n">
        <v>158</v>
      </c>
      <c r="G8" s="8" t="n">
        <v>0.216</v>
      </c>
      <c r="H8" s="25" t="n">
        <v>939</v>
      </c>
      <c r="I8" s="22" t="n">
        <v>186.41</v>
      </c>
      <c r="J8" s="29">
        <f>H8*I8</f>
        <v/>
      </c>
      <c r="K8" s="32" t="n">
        <v>30.417</v>
      </c>
      <c r="L8" s="28" t="n">
        <v>12</v>
      </c>
    </row>
    <row r="9">
      <c r="A9" s="5" t="inlineStr">
        <is>
          <t>P0044</t>
        </is>
      </c>
      <c r="B9" s="5" t="inlineStr">
        <is>
          <t>Home Item 044</t>
        </is>
      </c>
      <c r="C9" s="5" t="inlineStr">
        <is>
          <t>Home &amp; Kitchen</t>
        </is>
      </c>
      <c r="D9" s="5" t="inlineStr">
        <is>
          <t>A</t>
        </is>
      </c>
      <c r="E9" s="5" t="inlineStr">
        <is>
          <t>S09</t>
        </is>
      </c>
      <c r="F9" s="25" t="n">
        <v>67</v>
      </c>
      <c r="G9" s="8" t="n">
        <v>0.092</v>
      </c>
      <c r="H9" s="25" t="n">
        <v>1386</v>
      </c>
      <c r="I9" s="22" t="n">
        <v>92.70999999999999</v>
      </c>
      <c r="J9" s="29">
        <f>H9*I9</f>
        <v/>
      </c>
      <c r="K9" s="32" t="n">
        <v>16.785</v>
      </c>
      <c r="L9" s="28" t="n">
        <v>21.746</v>
      </c>
    </row>
    <row r="10">
      <c r="A10" s="5" t="inlineStr">
        <is>
          <t>P0059</t>
        </is>
      </c>
      <c r="B10" s="5" t="inlineStr">
        <is>
          <t>Outdoor Item 059</t>
        </is>
      </c>
      <c r="C10" s="5" t="inlineStr">
        <is>
          <t>Outdoor &amp; Garden</t>
        </is>
      </c>
      <c r="D10" s="5" t="inlineStr">
        <is>
          <t>B</t>
        </is>
      </c>
      <c r="E10" s="5" t="inlineStr">
        <is>
          <t>S10</t>
        </is>
      </c>
      <c r="F10" s="25" t="n">
        <v>364</v>
      </c>
      <c r="G10" s="8" t="n">
        <v>0.498</v>
      </c>
      <c r="H10" s="25" t="n">
        <v>3795</v>
      </c>
      <c r="I10" s="22" t="n">
        <v>28.62</v>
      </c>
      <c r="J10" s="29">
        <f>H10*I10</f>
        <v/>
      </c>
      <c r="K10" s="32" t="n">
        <v>49.239</v>
      </c>
      <c r="L10" s="28" t="n">
        <v>7.413</v>
      </c>
    </row>
    <row r="11">
      <c r="A11" s="5" t="inlineStr">
        <is>
          <t>P0019</t>
        </is>
      </c>
      <c r="B11" s="5" t="inlineStr">
        <is>
          <t>Electronics Item 019</t>
        </is>
      </c>
      <c r="C11" s="5" t="inlineStr">
        <is>
          <t>Electronics</t>
        </is>
      </c>
      <c r="D11" s="5" t="inlineStr">
        <is>
          <t>A</t>
        </is>
      </c>
      <c r="E11" s="5" t="inlineStr">
        <is>
          <t>S01</t>
        </is>
      </c>
      <c r="F11" s="25" t="n">
        <v>71</v>
      </c>
      <c r="G11" s="8" t="n">
        <v>0.097</v>
      </c>
      <c r="H11" s="25" t="n">
        <v>464</v>
      </c>
      <c r="I11" s="22" t="n">
        <v>232.84</v>
      </c>
      <c r="J11" s="29">
        <f>H11*I11</f>
        <v/>
      </c>
      <c r="K11" s="32" t="n">
        <v>20.237</v>
      </c>
      <c r="L11" s="28" t="n">
        <v>18.036</v>
      </c>
    </row>
    <row r="12">
      <c r="A12" s="5" t="inlineStr">
        <is>
          <t>P0144</t>
        </is>
      </c>
      <c r="B12" s="5" t="inlineStr">
        <is>
          <t>Packaging Item 144</t>
        </is>
      </c>
      <c r="C12" s="5" t="inlineStr">
        <is>
          <t>Packaging</t>
        </is>
      </c>
      <c r="D12" s="5" t="inlineStr">
        <is>
          <t>A</t>
        </is>
      </c>
      <c r="E12" s="5" t="inlineStr">
        <is>
          <t>S10</t>
        </is>
      </c>
      <c r="F12" s="25" t="n">
        <v>217</v>
      </c>
      <c r="G12" s="8" t="n">
        <v>0.297</v>
      </c>
      <c r="H12" s="25" t="n">
        <v>8337</v>
      </c>
      <c r="I12" s="22" t="n">
        <v>8.449999999999999</v>
      </c>
      <c r="J12" s="29">
        <f>H12*I12</f>
        <v/>
      </c>
      <c r="K12" s="32" t="n">
        <v>25.113</v>
      </c>
      <c r="L12" s="28" t="n">
        <v>14.534</v>
      </c>
    </row>
    <row r="13">
      <c r="A13" s="5" t="inlineStr">
        <is>
          <t>P0056</t>
        </is>
      </c>
      <c r="B13" s="5" t="inlineStr">
        <is>
          <t>Outdoor Item 056</t>
        </is>
      </c>
      <c r="C13" s="5" t="inlineStr">
        <is>
          <t>Outdoor &amp; Garden</t>
        </is>
      </c>
      <c r="D13" s="5" t="inlineStr">
        <is>
          <t>A</t>
        </is>
      </c>
      <c r="E13" s="5" t="inlineStr">
        <is>
          <t>S02</t>
        </is>
      </c>
      <c r="F13" s="25" t="n">
        <v>71</v>
      </c>
      <c r="G13" s="8" t="n">
        <v>0.097</v>
      </c>
      <c r="H13" s="25" t="n">
        <v>2591</v>
      </c>
      <c r="I13" s="22" t="n">
        <v>24.84</v>
      </c>
      <c r="J13" s="29">
        <f>H13*I13</f>
        <v/>
      </c>
      <c r="K13" s="32" t="n">
        <v>33.031</v>
      </c>
      <c r="L13" s="28" t="n">
        <v>11.05</v>
      </c>
    </row>
    <row r="14">
      <c r="A14" s="5" t="inlineStr">
        <is>
          <t>P0001</t>
        </is>
      </c>
      <c r="B14" s="5" t="inlineStr">
        <is>
          <t>Electronics Item 001</t>
        </is>
      </c>
      <c r="C14" s="5" t="inlineStr">
        <is>
          <t>Electronics</t>
        </is>
      </c>
      <c r="D14" s="5" t="inlineStr">
        <is>
          <t>A</t>
        </is>
      </c>
      <c r="E14" s="5" t="inlineStr">
        <is>
          <t>S01</t>
        </is>
      </c>
      <c r="F14" s="25" t="n">
        <v>25</v>
      </c>
      <c r="G14" s="8" t="n">
        <v>0.034</v>
      </c>
      <c r="H14" s="25" t="n">
        <v>259</v>
      </c>
      <c r="I14" s="22" t="n">
        <v>237.69</v>
      </c>
      <c r="J14" s="29">
        <f>H14*I14</f>
        <v/>
      </c>
      <c r="K14" s="32" t="n">
        <v>9.701000000000001</v>
      </c>
      <c r="L14" s="28" t="n">
        <v>37.626</v>
      </c>
    </row>
    <row r="15">
      <c r="A15" s="5" t="inlineStr">
        <is>
          <t>P0012</t>
        </is>
      </c>
      <c r="B15" s="5" t="inlineStr">
        <is>
          <t>Electronics Item 012</t>
        </is>
      </c>
      <c r="C15" s="5" t="inlineStr">
        <is>
          <t>Electronics</t>
        </is>
      </c>
      <c r="D15" s="5" t="inlineStr">
        <is>
          <t>A</t>
        </is>
      </c>
      <c r="E15" s="5" t="inlineStr">
        <is>
          <t>S03</t>
        </is>
      </c>
      <c r="F15" s="25" t="n">
        <v>57</v>
      </c>
      <c r="G15" s="8" t="n">
        <v>0.078</v>
      </c>
      <c r="H15" s="25" t="n">
        <v>303</v>
      </c>
      <c r="I15" s="22" t="n">
        <v>187.01</v>
      </c>
      <c r="J15" s="29">
        <f>H15*I15</f>
        <v/>
      </c>
      <c r="K15" s="32" t="n">
        <v>21.242</v>
      </c>
      <c r="L15" s="28" t="n">
        <v>17.183</v>
      </c>
    </row>
    <row r="16">
      <c r="A16" s="5" t="inlineStr">
        <is>
          <t>P0003</t>
        </is>
      </c>
      <c r="B16" s="5" t="inlineStr">
        <is>
          <t>Electronics Item 003</t>
        </is>
      </c>
      <c r="C16" s="5" t="inlineStr">
        <is>
          <t>Electronics</t>
        </is>
      </c>
      <c r="D16" s="5" t="inlineStr">
        <is>
          <t>A</t>
        </is>
      </c>
      <c r="E16" s="5" t="inlineStr">
        <is>
          <t>S06</t>
        </is>
      </c>
      <c r="F16" s="25" t="n">
        <v>56</v>
      </c>
      <c r="G16" s="8" t="n">
        <v>0.077</v>
      </c>
      <c r="H16" s="25" t="n">
        <v>203</v>
      </c>
      <c r="I16" s="22" t="n">
        <v>244.41</v>
      </c>
      <c r="J16" s="29">
        <f>H16*I16</f>
        <v/>
      </c>
      <c r="K16" s="32" t="n">
        <v>18.538</v>
      </c>
      <c r="L16" s="28" t="n">
        <v>19.689</v>
      </c>
    </row>
    <row r="17">
      <c r="A17" s="5" t="inlineStr">
        <is>
          <t>P0013</t>
        </is>
      </c>
      <c r="B17" s="5" t="inlineStr">
        <is>
          <t>Electronics Item 013</t>
        </is>
      </c>
      <c r="C17" s="5" t="inlineStr">
        <is>
          <t>Electronics</t>
        </is>
      </c>
      <c r="D17" s="5" t="inlineStr">
        <is>
          <t>A</t>
        </is>
      </c>
      <c r="E17" s="5" t="inlineStr">
        <is>
          <t>S05</t>
        </is>
      </c>
      <c r="F17" s="25" t="n">
        <v>51</v>
      </c>
      <c r="G17" s="8" t="n">
        <v>0.07000000000000001</v>
      </c>
      <c r="H17" s="25" t="n">
        <v>228</v>
      </c>
      <c r="I17" s="22" t="n">
        <v>200.6</v>
      </c>
      <c r="J17" s="29">
        <f>H17*I17</f>
        <v/>
      </c>
      <c r="K17" s="32" t="n">
        <v>42.527</v>
      </c>
      <c r="L17" s="28" t="n">
        <v>8.583</v>
      </c>
    </row>
    <row r="18">
      <c r="A18" s="5" t="inlineStr">
        <is>
          <t>P0085</t>
        </is>
      </c>
      <c r="B18" s="5" t="inlineStr">
        <is>
          <t>Office Item 085</t>
        </is>
      </c>
      <c r="C18" s="5" t="inlineStr">
        <is>
          <t>Office Supplies</t>
        </is>
      </c>
      <c r="D18" s="5" t="inlineStr">
        <is>
          <t>A</t>
        </is>
      </c>
      <c r="E18" s="5" t="inlineStr">
        <is>
          <t>S07</t>
        </is>
      </c>
      <c r="F18" s="25" t="n">
        <v>116</v>
      </c>
      <c r="G18" s="8" t="n">
        <v>0.159</v>
      </c>
      <c r="H18" s="25" t="n">
        <v>596</v>
      </c>
      <c r="I18" s="22" t="n">
        <v>56.44</v>
      </c>
      <c r="J18" s="29">
        <f>H18*I18</f>
        <v/>
      </c>
      <c r="K18" s="32" t="n">
        <v>27.516</v>
      </c>
      <c r="L18" s="28" t="n">
        <v>13.265</v>
      </c>
    </row>
    <row r="19">
      <c r="A19" s="5" t="inlineStr">
        <is>
          <t>P0020</t>
        </is>
      </c>
      <c r="B19" s="5" t="inlineStr">
        <is>
          <t>Electronics Item 020</t>
        </is>
      </c>
      <c r="C19" s="5" t="inlineStr">
        <is>
          <t>Electronics</t>
        </is>
      </c>
      <c r="D19" s="5" t="inlineStr">
        <is>
          <t>A</t>
        </is>
      </c>
      <c r="E19" s="5" t="inlineStr">
        <is>
          <t>S06</t>
        </is>
      </c>
      <c r="F19" s="25" t="n">
        <v>73</v>
      </c>
      <c r="G19" s="8" t="n">
        <v>0.1</v>
      </c>
      <c r="H19" s="25" t="n">
        <v>390</v>
      </c>
      <c r="I19" s="22" t="n">
        <v>80.54000000000001</v>
      </c>
      <c r="J19" s="29">
        <f>H19*I19</f>
        <v/>
      </c>
      <c r="K19" s="32" t="n">
        <v>22.276</v>
      </c>
      <c r="L19" s="28" t="n">
        <v>16.385</v>
      </c>
    </row>
    <row r="20">
      <c r="A20" s="5" t="inlineStr">
        <is>
          <t>P0034</t>
        </is>
      </c>
      <c r="B20" s="5" t="inlineStr">
        <is>
          <t>Home Item 034</t>
        </is>
      </c>
      <c r="C20" s="5" t="inlineStr">
        <is>
          <t>Home &amp; Kitchen</t>
        </is>
      </c>
      <c r="D20" s="5" t="inlineStr">
        <is>
          <t>A</t>
        </is>
      </c>
      <c r="E20" s="5" t="inlineStr">
        <is>
          <t>S09</t>
        </is>
      </c>
      <c r="F20" s="25" t="n">
        <v>106</v>
      </c>
      <c r="G20" s="8" t="n">
        <v>0.145</v>
      </c>
      <c r="H20" s="25" t="n">
        <v>436</v>
      </c>
      <c r="I20" s="22" t="n">
        <v>65.84999999999999</v>
      </c>
      <c r="J20" s="29">
        <f>H20*I20</f>
        <v/>
      </c>
      <c r="K20" s="32" t="n">
        <v>22.456</v>
      </c>
      <c r="L20" s="28" t="n">
        <v>16.254</v>
      </c>
    </row>
    <row r="21">
      <c r="A21" s="5" t="inlineStr">
        <is>
          <t>P0052</t>
        </is>
      </c>
      <c r="B21" s="5" t="inlineStr">
        <is>
          <t>Home Item 052</t>
        </is>
      </c>
      <c r="C21" s="5" t="inlineStr">
        <is>
          <t>Home &amp; Kitchen</t>
        </is>
      </c>
      <c r="D21" s="5" t="inlineStr">
        <is>
          <t>A</t>
        </is>
      </c>
      <c r="E21" s="5" t="inlineStr">
        <is>
          <t>S09</t>
        </is>
      </c>
      <c r="F21" s="25" t="n">
        <v>88</v>
      </c>
      <c r="G21" s="8" t="n">
        <v>0.12</v>
      </c>
      <c r="H21" s="25" t="n">
        <v>305</v>
      </c>
      <c r="I21" s="22" t="n">
        <v>92.09</v>
      </c>
      <c r="J21" s="29">
        <f>H21*I21</f>
        <v/>
      </c>
      <c r="K21" s="32" t="n">
        <v>20.222</v>
      </c>
      <c r="L21" s="28" t="n">
        <v>18.049</v>
      </c>
    </row>
    <row r="22">
      <c r="A22" s="5" t="inlineStr">
        <is>
          <t>P0002</t>
        </is>
      </c>
      <c r="B22" s="5" t="inlineStr">
        <is>
          <t>Electronics Item 002</t>
        </is>
      </c>
      <c r="C22" s="5" t="inlineStr">
        <is>
          <t>Electronics</t>
        </is>
      </c>
      <c r="D22" s="5" t="inlineStr">
        <is>
          <t>A</t>
        </is>
      </c>
      <c r="E22" s="5" t="inlineStr">
        <is>
          <t>S07</t>
        </is>
      </c>
      <c r="F22" s="25" t="n">
        <v>98</v>
      </c>
      <c r="G22" s="8" t="n">
        <v>0.134</v>
      </c>
      <c r="H22" s="25" t="n">
        <v>542</v>
      </c>
      <c r="I22" s="22" t="n">
        <v>49.69</v>
      </c>
      <c r="J22" s="29">
        <f>H22*I22</f>
        <v/>
      </c>
      <c r="K22" s="32" t="n">
        <v>20.05</v>
      </c>
      <c r="L22" s="28" t="n">
        <v>18.205</v>
      </c>
    </row>
    <row r="23">
      <c r="A23" s="5" t="inlineStr">
        <is>
          <t>P0073</t>
        </is>
      </c>
      <c r="B23" s="5" t="inlineStr">
        <is>
          <t>Outdoor Item 073</t>
        </is>
      </c>
      <c r="C23" s="5" t="inlineStr">
        <is>
          <t>Outdoor &amp; Garden</t>
        </is>
      </c>
      <c r="D23" s="5" t="inlineStr">
        <is>
          <t>A</t>
        </is>
      </c>
      <c r="E23" s="5" t="inlineStr">
        <is>
          <t>S10</t>
        </is>
      </c>
      <c r="F23" s="25" t="n">
        <v>63</v>
      </c>
      <c r="G23" s="8" t="n">
        <v>0.08599999999999999</v>
      </c>
      <c r="H23" s="25" t="n">
        <v>887</v>
      </c>
      <c r="I23" s="22" t="n">
        <v>29.19</v>
      </c>
      <c r="J23" s="29">
        <f>H23*I23</f>
        <v/>
      </c>
      <c r="K23" s="32" t="n">
        <v>9.336</v>
      </c>
      <c r="L23" s="28" t="n">
        <v>39.096</v>
      </c>
    </row>
    <row r="24">
      <c r="A24" s="5" t="inlineStr">
        <is>
          <t>P0006</t>
        </is>
      </c>
      <c r="B24" s="5" t="inlineStr">
        <is>
          <t>Electronics Item 006</t>
        </is>
      </c>
      <c r="C24" s="5" t="inlineStr">
        <is>
          <t>Electronics</t>
        </is>
      </c>
      <c r="D24" s="5" t="inlineStr">
        <is>
          <t>A</t>
        </is>
      </c>
      <c r="E24" s="5" t="inlineStr">
        <is>
          <t>S01</t>
        </is>
      </c>
      <c r="F24" s="25" t="n">
        <v>18</v>
      </c>
      <c r="G24" s="8" t="n">
        <v>0.025</v>
      </c>
      <c r="H24" s="25" t="n">
        <v>89</v>
      </c>
      <c r="I24" s="22" t="n">
        <v>268.96</v>
      </c>
      <c r="J24" s="29">
        <f>H24*I24</f>
        <v/>
      </c>
      <c r="K24" s="32" t="n">
        <v>9.898999999999999</v>
      </c>
      <c r="L24" s="28" t="n">
        <v>36.873</v>
      </c>
    </row>
    <row r="25">
      <c r="A25" s="5" t="inlineStr">
        <is>
          <t>P0060</t>
        </is>
      </c>
      <c r="B25" s="5" t="inlineStr">
        <is>
          <t>Outdoor Item 060</t>
        </is>
      </c>
      <c r="C25" s="5" t="inlineStr">
        <is>
          <t>Outdoor &amp; Garden</t>
        </is>
      </c>
      <c r="D25" s="5" t="inlineStr">
        <is>
          <t>A</t>
        </is>
      </c>
      <c r="E25" s="5" t="inlineStr">
        <is>
          <t>S02</t>
        </is>
      </c>
      <c r="F25" s="25" t="n">
        <v>15</v>
      </c>
      <c r="G25" s="8" t="n">
        <v>0.021</v>
      </c>
      <c r="H25" s="25" t="n">
        <v>360</v>
      </c>
      <c r="I25" s="22" t="n">
        <v>62.34</v>
      </c>
      <c r="J25" s="29">
        <f>H25*I25</f>
        <v/>
      </c>
      <c r="K25" s="32" t="n">
        <v>5.634</v>
      </c>
      <c r="L25" s="28" t="n">
        <v>64.789</v>
      </c>
    </row>
    <row r="26">
      <c r="A26" s="5" t="inlineStr">
        <is>
          <t>P0069</t>
        </is>
      </c>
      <c r="B26" s="5" t="inlineStr">
        <is>
          <t>Outdoor Item 069</t>
        </is>
      </c>
      <c r="C26" s="5" t="inlineStr">
        <is>
          <t>Outdoor &amp; Garden</t>
        </is>
      </c>
      <c r="D26" s="5" t="inlineStr">
        <is>
          <t>A</t>
        </is>
      </c>
      <c r="E26" s="5" t="inlineStr">
        <is>
          <t>S04</t>
        </is>
      </c>
      <c r="F26" s="25" t="n">
        <v>61</v>
      </c>
      <c r="G26" s="8" t="n">
        <v>0.083</v>
      </c>
      <c r="H26" s="25" t="n">
        <v>141</v>
      </c>
      <c r="I26" s="22" t="n">
        <v>154.71</v>
      </c>
      <c r="J26" s="29">
        <f>H26*I26</f>
        <v/>
      </c>
      <c r="K26" s="32" t="n">
        <v>6.151</v>
      </c>
      <c r="L26" s="28" t="n">
        <v>59.343</v>
      </c>
    </row>
    <row r="27">
      <c r="A27" s="5" t="inlineStr">
        <is>
          <t>P0125</t>
        </is>
      </c>
      <c r="B27" s="5" t="inlineStr">
        <is>
          <t>Health Item 125</t>
        </is>
      </c>
      <c r="C27" s="5" t="inlineStr">
        <is>
          <t>Health &amp; Safety</t>
        </is>
      </c>
      <c r="D27" s="5" t="inlineStr">
        <is>
          <t>B</t>
        </is>
      </c>
      <c r="E27" s="5" t="inlineStr">
        <is>
          <t>S06</t>
        </is>
      </c>
      <c r="F27" s="25" t="n">
        <v>115</v>
      </c>
      <c r="G27" s="8" t="n">
        <v>0.157</v>
      </c>
      <c r="H27" s="25" t="n">
        <v>1897</v>
      </c>
      <c r="I27" s="22" t="n">
        <v>10.82</v>
      </c>
      <c r="J27" s="29">
        <f>H27*I27</f>
        <v/>
      </c>
      <c r="K27" s="32" t="n">
        <v>16.041</v>
      </c>
      <c r="L27" s="28" t="n">
        <v>22.754</v>
      </c>
    </row>
    <row r="28">
      <c r="A28" s="5" t="inlineStr">
        <is>
          <t>P0054</t>
        </is>
      </c>
      <c r="B28" s="5" t="inlineStr">
        <is>
          <t>Home Item 054</t>
        </is>
      </c>
      <c r="C28" s="5" t="inlineStr">
        <is>
          <t>Home &amp; Kitchen</t>
        </is>
      </c>
      <c r="D28" s="5" t="inlineStr">
        <is>
          <t>A</t>
        </is>
      </c>
      <c r="E28" s="5" t="inlineStr">
        <is>
          <t>S01</t>
        </is>
      </c>
      <c r="F28" s="25" t="n">
        <v>23</v>
      </c>
      <c r="G28" s="8" t="n">
        <v>0.031</v>
      </c>
      <c r="H28" s="25" t="n">
        <v>305</v>
      </c>
      <c r="I28" s="22" t="n">
        <v>63.96</v>
      </c>
      <c r="J28" s="29">
        <f>H28*I28</f>
        <v/>
      </c>
      <c r="K28" s="32" t="n">
        <v>5.729</v>
      </c>
      <c r="L28" s="28" t="n">
        <v>63.711</v>
      </c>
    </row>
    <row r="29">
      <c r="A29" s="5" t="inlineStr">
        <is>
          <t>P0066</t>
        </is>
      </c>
      <c r="B29" s="5" t="inlineStr">
        <is>
          <t>Outdoor Item 066</t>
        </is>
      </c>
      <c r="C29" s="5" t="inlineStr">
        <is>
          <t>Outdoor &amp; Garden</t>
        </is>
      </c>
      <c r="D29" s="5" t="inlineStr">
        <is>
          <t>A</t>
        </is>
      </c>
      <c r="E29" s="5" t="inlineStr">
        <is>
          <t>S02</t>
        </is>
      </c>
      <c r="F29" s="25" t="n">
        <v>76</v>
      </c>
      <c r="G29" s="8" t="n">
        <v>0.104</v>
      </c>
      <c r="H29" s="25" t="n">
        <v>862</v>
      </c>
      <c r="I29" s="22" t="n">
        <v>22.26</v>
      </c>
      <c r="J29" s="29">
        <f>H29*I29</f>
        <v/>
      </c>
      <c r="K29" s="32" t="n">
        <v>44.794</v>
      </c>
      <c r="L29" s="28" t="n">
        <v>8.148</v>
      </c>
    </row>
    <row r="30">
      <c r="A30" s="5" t="inlineStr">
        <is>
          <t>P0025</t>
        </is>
      </c>
      <c r="B30" s="5" t="inlineStr">
        <is>
          <t>Electronics Item 025</t>
        </is>
      </c>
      <c r="C30" s="5" t="inlineStr">
        <is>
          <t>Electronics</t>
        </is>
      </c>
      <c r="D30" s="5" t="inlineStr">
        <is>
          <t>A</t>
        </is>
      </c>
      <c r="E30" s="5" t="inlineStr">
        <is>
          <t>S07</t>
        </is>
      </c>
      <c r="F30" s="25" t="n">
        <v>53</v>
      </c>
      <c r="G30" s="8" t="n">
        <v>0.073</v>
      </c>
      <c r="H30" s="25" t="n">
        <v>454</v>
      </c>
      <c r="I30" s="22" t="n">
        <v>42.15</v>
      </c>
      <c r="J30" s="29">
        <f>H30*I30</f>
        <v/>
      </c>
      <c r="K30" s="32" t="n">
        <v>27.973</v>
      </c>
      <c r="L30" s="28" t="n">
        <v>13.048</v>
      </c>
    </row>
    <row r="31">
      <c r="A31" s="5" t="inlineStr">
        <is>
          <t>P0091</t>
        </is>
      </c>
      <c r="B31" s="5" t="inlineStr">
        <is>
          <t>Office Item 091</t>
        </is>
      </c>
      <c r="C31" s="5" t="inlineStr">
        <is>
          <t>Office Supplies</t>
        </is>
      </c>
      <c r="D31" s="5" t="inlineStr">
        <is>
          <t>B</t>
        </is>
      </c>
      <c r="E31" s="5" t="inlineStr">
        <is>
          <t>S07</t>
        </is>
      </c>
      <c r="F31" s="25" t="n">
        <v>118</v>
      </c>
      <c r="G31" s="8" t="n">
        <v>0.161</v>
      </c>
      <c r="H31" s="25" t="n">
        <v>780</v>
      </c>
      <c r="I31" s="22" t="n">
        <v>23.4</v>
      </c>
      <c r="J31" s="29">
        <f>H31*I31</f>
        <v/>
      </c>
      <c r="K31" s="32" t="n">
        <v>32.354</v>
      </c>
      <c r="L31" s="28" t="n">
        <v>11.282</v>
      </c>
    </row>
    <row r="32">
      <c r="A32" s="5" t="inlineStr">
        <is>
          <t>P0063</t>
        </is>
      </c>
      <c r="B32" s="5" t="inlineStr">
        <is>
          <t>Outdoor Item 063</t>
        </is>
      </c>
      <c r="C32" s="5" t="inlineStr">
        <is>
          <t>Outdoor &amp; Garden</t>
        </is>
      </c>
      <c r="D32" s="5" t="inlineStr">
        <is>
          <t>B</t>
        </is>
      </c>
      <c r="E32" s="5" t="inlineStr">
        <is>
          <t>S06</t>
        </is>
      </c>
      <c r="F32" s="25" t="n">
        <v>128</v>
      </c>
      <c r="G32" s="8" t="n">
        <v>0.175</v>
      </c>
      <c r="H32" s="25" t="n">
        <v>390</v>
      </c>
      <c r="I32" s="22" t="n">
        <v>45.91</v>
      </c>
      <c r="J32" s="29">
        <f>H32*I32</f>
        <v/>
      </c>
      <c r="K32" s="32" t="n">
        <v>20.937</v>
      </c>
      <c r="L32" s="28" t="n">
        <v>17.433</v>
      </c>
    </row>
    <row r="33">
      <c r="A33" s="5" t="inlineStr">
        <is>
          <t>P0111</t>
        </is>
      </c>
      <c r="B33" s="5" t="inlineStr">
        <is>
          <t>Health Item 111</t>
        </is>
      </c>
      <c r="C33" s="5" t="inlineStr">
        <is>
          <t>Health &amp; Safety</t>
        </is>
      </c>
      <c r="D33" s="5" t="inlineStr">
        <is>
          <t>A</t>
        </is>
      </c>
      <c r="E33" s="5" t="inlineStr">
        <is>
          <t>S09</t>
        </is>
      </c>
      <c r="F33" s="25" t="n">
        <v>66</v>
      </c>
      <c r="G33" s="8" t="n">
        <v>0.09</v>
      </c>
      <c r="H33" s="25" t="n">
        <v>211</v>
      </c>
      <c r="I33" s="22" t="n">
        <v>79.97</v>
      </c>
      <c r="J33" s="29">
        <f>H33*I33</f>
        <v/>
      </c>
      <c r="K33" s="32" t="n">
        <v>17.503</v>
      </c>
      <c r="L33" s="28" t="n">
        <v>20.854</v>
      </c>
    </row>
    <row r="34">
      <c r="A34" s="5" t="inlineStr">
        <is>
          <t>P0140</t>
        </is>
      </c>
      <c r="B34" s="5" t="inlineStr">
        <is>
          <t>Packaging Item 140</t>
        </is>
      </c>
      <c r="C34" s="5" t="inlineStr">
        <is>
          <t>Packaging</t>
        </is>
      </c>
      <c r="D34" s="5" t="inlineStr">
        <is>
          <t>B</t>
        </is>
      </c>
      <c r="E34" s="5" t="inlineStr">
        <is>
          <t>S06</t>
        </is>
      </c>
      <c r="F34" s="25" t="n">
        <v>174</v>
      </c>
      <c r="G34" s="8" t="n">
        <v>0.238</v>
      </c>
      <c r="H34" s="25" t="n">
        <v>1444</v>
      </c>
      <c r="I34" s="22" t="n">
        <v>10.1</v>
      </c>
      <c r="J34" s="29">
        <f>H34*I34</f>
        <v/>
      </c>
      <c r="K34" s="32" t="n">
        <v>34.87</v>
      </c>
      <c r="L34" s="28" t="n">
        <v>10.467</v>
      </c>
    </row>
    <row r="35">
      <c r="A35" s="5" t="inlineStr">
        <is>
          <t>P0148</t>
        </is>
      </c>
      <c r="B35" s="5" t="inlineStr">
        <is>
          <t>Packaging Item 148</t>
        </is>
      </c>
      <c r="C35" s="5" t="inlineStr">
        <is>
          <t>Packaging</t>
        </is>
      </c>
      <c r="D35" s="5" t="inlineStr">
        <is>
          <t>B</t>
        </is>
      </c>
      <c r="E35" s="5" t="inlineStr">
        <is>
          <t>S04</t>
        </is>
      </c>
      <c r="F35" s="25" t="n">
        <v>95</v>
      </c>
      <c r="G35" s="8" t="n">
        <v>0.13</v>
      </c>
      <c r="H35" s="25" t="n">
        <v>857</v>
      </c>
      <c r="I35" s="22" t="n">
        <v>16.76</v>
      </c>
      <c r="J35" s="29">
        <f>H35*I35</f>
        <v/>
      </c>
      <c r="K35" s="32" t="n">
        <v>11.336</v>
      </c>
      <c r="L35" s="28" t="n">
        <v>32.198</v>
      </c>
    </row>
    <row r="36">
      <c r="A36" s="5" t="inlineStr">
        <is>
          <t>P0057</t>
        </is>
      </c>
      <c r="B36" s="5" t="inlineStr">
        <is>
          <t>Outdoor Item 057</t>
        </is>
      </c>
      <c r="C36" s="5" t="inlineStr">
        <is>
          <t>Outdoor &amp; Garden</t>
        </is>
      </c>
      <c r="D36" s="5" t="inlineStr">
        <is>
          <t>C</t>
        </is>
      </c>
      <c r="E36" s="5" t="inlineStr">
        <is>
          <t>S04</t>
        </is>
      </c>
      <c r="F36" s="25" t="n">
        <v>184</v>
      </c>
      <c r="G36" s="8" t="n">
        <v>0.252</v>
      </c>
      <c r="H36" s="25" t="n">
        <v>473</v>
      </c>
      <c r="I36" s="22" t="n">
        <v>26.07</v>
      </c>
      <c r="J36" s="29">
        <f>H36*I36</f>
        <v/>
      </c>
      <c r="K36" s="32" t="n">
        <v>6.603</v>
      </c>
      <c r="L36" s="28" t="n">
        <v>55.279</v>
      </c>
    </row>
    <row r="37">
      <c r="A37" s="5" t="inlineStr">
        <is>
          <t>P0112</t>
        </is>
      </c>
      <c r="B37" s="5" t="inlineStr">
        <is>
          <t>Health Item 112</t>
        </is>
      </c>
      <c r="C37" s="5" t="inlineStr">
        <is>
          <t>Health &amp; Safety</t>
        </is>
      </c>
      <c r="D37" s="5" t="inlineStr">
        <is>
          <t>B</t>
        </is>
      </c>
      <c r="E37" s="5" t="inlineStr">
        <is>
          <t>S07</t>
        </is>
      </c>
      <c r="F37" s="25" t="n">
        <v>70</v>
      </c>
      <c r="G37" s="8" t="n">
        <v>0.096</v>
      </c>
      <c r="H37" s="25" t="n">
        <v>1036</v>
      </c>
      <c r="I37" s="22" t="n">
        <v>10.75</v>
      </c>
      <c r="J37" s="29">
        <f>H37*I37</f>
        <v/>
      </c>
      <c r="K37" s="32" t="n">
        <v>24.94</v>
      </c>
      <c r="L37" s="28" t="n">
        <v>14.635</v>
      </c>
    </row>
    <row r="38">
      <c r="A38" s="5" t="inlineStr">
        <is>
          <t>P0072</t>
        </is>
      </c>
      <c r="B38" s="5" t="inlineStr">
        <is>
          <t>Outdoor Item 072</t>
        </is>
      </c>
      <c r="C38" s="5" t="inlineStr">
        <is>
          <t>Outdoor &amp; Garden</t>
        </is>
      </c>
      <c r="D38" s="5" t="inlineStr">
        <is>
          <t>B</t>
        </is>
      </c>
      <c r="E38" s="5" t="inlineStr">
        <is>
          <t>S07</t>
        </is>
      </c>
      <c r="F38" s="25" t="n">
        <v>50</v>
      </c>
      <c r="G38" s="8" t="n">
        <v>0.068</v>
      </c>
      <c r="H38" s="25" t="n">
        <v>64</v>
      </c>
      <c r="I38" s="22" t="n">
        <v>172.2</v>
      </c>
      <c r="J38" s="29">
        <f>H38*I38</f>
        <v/>
      </c>
      <c r="K38" s="32" t="n">
        <v>7.242</v>
      </c>
      <c r="L38" s="28" t="n">
        <v>50.399</v>
      </c>
    </row>
    <row r="39">
      <c r="A39" s="5" t="inlineStr">
        <is>
          <t>P0119</t>
        </is>
      </c>
      <c r="B39" s="5" t="inlineStr">
        <is>
          <t>Health Item 119</t>
        </is>
      </c>
      <c r="C39" s="5" t="inlineStr">
        <is>
          <t>Health &amp; Safety</t>
        </is>
      </c>
      <c r="D39" s="5" t="inlineStr">
        <is>
          <t>B</t>
        </is>
      </c>
      <c r="E39" s="5" t="inlineStr">
        <is>
          <t>S09</t>
        </is>
      </c>
      <c r="F39" s="25" t="n">
        <v>81</v>
      </c>
      <c r="G39" s="8" t="n">
        <v>0.111</v>
      </c>
      <c r="H39" s="25" t="n">
        <v>766</v>
      </c>
      <c r="I39" s="22" t="n">
        <v>14.33</v>
      </c>
      <c r="J39" s="29">
        <f>H39*I39</f>
        <v/>
      </c>
      <c r="K39" s="32" t="n">
        <v>27.639</v>
      </c>
      <c r="L39" s="28" t="n">
        <v>13.206</v>
      </c>
    </row>
    <row r="40">
      <c r="A40" s="5" t="inlineStr">
        <is>
          <t>P0023</t>
        </is>
      </c>
      <c r="B40" s="5" t="inlineStr">
        <is>
          <t>Electronics Item 023</t>
        </is>
      </c>
      <c r="C40" s="5" t="inlineStr">
        <is>
          <t>Electronics</t>
        </is>
      </c>
      <c r="D40" s="5" t="inlineStr">
        <is>
          <t>A</t>
        </is>
      </c>
      <c r="E40" s="5" t="inlineStr">
        <is>
          <t>S10</t>
        </is>
      </c>
      <c r="F40" s="25" t="n">
        <v>16</v>
      </c>
      <c r="G40" s="8" t="n">
        <v>0.022</v>
      </c>
      <c r="H40" s="25" t="n">
        <v>55</v>
      </c>
      <c r="I40" s="22" t="n">
        <v>183.64</v>
      </c>
      <c r="J40" s="29">
        <f>H40*I40</f>
        <v/>
      </c>
      <c r="K40" s="32" t="n">
        <v>12.334</v>
      </c>
      <c r="L40" s="28" t="n">
        <v>29.593</v>
      </c>
    </row>
    <row r="41">
      <c r="A41" s="5" t="inlineStr">
        <is>
          <t>P0041</t>
        </is>
      </c>
      <c r="B41" s="5" t="inlineStr">
        <is>
          <t>Home Item 041</t>
        </is>
      </c>
      <c r="C41" s="5" t="inlineStr">
        <is>
          <t>Home &amp; Kitchen</t>
        </is>
      </c>
      <c r="D41" s="5" t="inlineStr">
        <is>
          <t>A</t>
        </is>
      </c>
      <c r="E41" s="5" t="inlineStr">
        <is>
          <t>S02</t>
        </is>
      </c>
      <c r="F41" s="25" t="n">
        <v>38</v>
      </c>
      <c r="G41" s="8" t="n">
        <v>0.052</v>
      </c>
      <c r="H41" s="25" t="n">
        <v>278</v>
      </c>
      <c r="I41" s="22" t="n">
        <v>33.51</v>
      </c>
      <c r="J41" s="29">
        <f>H41*I41</f>
        <v/>
      </c>
      <c r="K41" s="32" t="n">
        <v>27.356</v>
      </c>
      <c r="L41" s="28" t="n">
        <v>13.342</v>
      </c>
    </row>
    <row r="42">
      <c r="A42" s="5" t="inlineStr">
        <is>
          <t>P0131</t>
        </is>
      </c>
      <c r="B42" s="5" t="inlineStr">
        <is>
          <t>Packaging Item 131</t>
        </is>
      </c>
      <c r="C42" s="5" t="inlineStr">
        <is>
          <t>Packaging</t>
        </is>
      </c>
      <c r="D42" s="5" t="inlineStr">
        <is>
          <t>B</t>
        </is>
      </c>
      <c r="E42" s="5" t="inlineStr">
        <is>
          <t>S09</t>
        </is>
      </c>
      <c r="F42" s="25" t="n">
        <v>58</v>
      </c>
      <c r="G42" s="8" t="n">
        <v>0.079</v>
      </c>
      <c r="H42" s="25" t="n">
        <v>1237</v>
      </c>
      <c r="I42" s="22" t="n">
        <v>7.43</v>
      </c>
      <c r="J42" s="29">
        <f>H42*I42</f>
        <v/>
      </c>
      <c r="K42" s="32" t="n">
        <v>16.971</v>
      </c>
      <c r="L42" s="28" t="n">
        <v>21.507</v>
      </c>
    </row>
    <row r="43">
      <c r="A43" s="5" t="inlineStr">
        <is>
          <t>P0010</t>
        </is>
      </c>
      <c r="B43" s="5" t="inlineStr">
        <is>
          <t>Electronics Item 010</t>
        </is>
      </c>
      <c r="C43" s="5" t="inlineStr">
        <is>
          <t>Electronics</t>
        </is>
      </c>
      <c r="D43" s="5" t="inlineStr">
        <is>
          <t>B</t>
        </is>
      </c>
      <c r="E43" s="5" t="inlineStr">
        <is>
          <t>S10</t>
        </is>
      </c>
      <c r="F43" s="25" t="n">
        <v>60</v>
      </c>
      <c r="G43" s="8" t="n">
        <v>0.082</v>
      </c>
      <c r="H43" s="25" t="n">
        <v>102</v>
      </c>
      <c r="I43" s="22" t="n">
        <v>84.7</v>
      </c>
      <c r="J43" s="29">
        <f>H43*I43</f>
        <v/>
      </c>
      <c r="K43" s="32" t="n">
        <v>9.313000000000001</v>
      </c>
      <c r="L43" s="28" t="n">
        <v>39.195</v>
      </c>
    </row>
    <row r="44">
      <c r="A44" s="5" t="inlineStr">
        <is>
          <t>P0065</t>
        </is>
      </c>
      <c r="B44" s="5" t="inlineStr">
        <is>
          <t>Outdoor Item 065</t>
        </is>
      </c>
      <c r="C44" s="5" t="inlineStr">
        <is>
          <t>Outdoor &amp; Garden</t>
        </is>
      </c>
      <c r="D44" s="5" t="inlineStr">
        <is>
          <t>B</t>
        </is>
      </c>
      <c r="E44" s="5" t="inlineStr">
        <is>
          <t>S09</t>
        </is>
      </c>
      <c r="F44" s="25" t="n">
        <v>95</v>
      </c>
      <c r="G44" s="8" t="n">
        <v>0.13</v>
      </c>
      <c r="H44" s="25" t="n">
        <v>533</v>
      </c>
      <c r="I44" s="22" t="n">
        <v>16.09</v>
      </c>
      <c r="J44" s="29">
        <f>H44*I44</f>
        <v/>
      </c>
      <c r="K44" s="32" t="n">
        <v>12.602</v>
      </c>
      <c r="L44" s="28" t="n">
        <v>28.963</v>
      </c>
    </row>
    <row r="45">
      <c r="A45" s="5" t="inlineStr">
        <is>
          <t>P0098</t>
        </is>
      </c>
      <c r="B45" s="5" t="inlineStr">
        <is>
          <t>Office Item 098</t>
        </is>
      </c>
      <c r="C45" s="5" t="inlineStr">
        <is>
          <t>Office Supplies</t>
        </is>
      </c>
      <c r="D45" s="5" t="inlineStr">
        <is>
          <t>B</t>
        </is>
      </c>
      <c r="E45" s="5" t="inlineStr">
        <is>
          <t>S10</t>
        </is>
      </c>
      <c r="F45" s="25" t="n">
        <v>61</v>
      </c>
      <c r="G45" s="8" t="n">
        <v>0.083</v>
      </c>
      <c r="H45" s="25" t="n">
        <v>223</v>
      </c>
      <c r="I45" s="22" t="n">
        <v>33.04</v>
      </c>
      <c r="J45" s="29">
        <f>H45*I45</f>
        <v/>
      </c>
      <c r="K45" s="32" t="n">
        <v>19.268</v>
      </c>
      <c r="L45" s="28" t="n">
        <v>18.944</v>
      </c>
    </row>
    <row r="46">
      <c r="A46" s="5" t="inlineStr">
        <is>
          <t>P0123</t>
        </is>
      </c>
      <c r="B46" s="5" t="inlineStr">
        <is>
          <t>Health Item 123</t>
        </is>
      </c>
      <c r="C46" s="5" t="inlineStr">
        <is>
          <t>Health &amp; Safety</t>
        </is>
      </c>
      <c r="D46" s="5" t="inlineStr">
        <is>
          <t>A</t>
        </is>
      </c>
      <c r="E46" s="5" t="inlineStr">
        <is>
          <t>S09</t>
        </is>
      </c>
      <c r="F46" s="25" t="n">
        <v>13</v>
      </c>
      <c r="G46" s="8" t="n">
        <v>0.018</v>
      </c>
      <c r="H46" s="25" t="n">
        <v>131</v>
      </c>
      <c r="I46" s="22" t="n">
        <v>55.59</v>
      </c>
      <c r="J46" s="29">
        <f>H46*I46</f>
        <v/>
      </c>
      <c r="K46" s="32" t="n">
        <v>15.785</v>
      </c>
      <c r="L46" s="28" t="n">
        <v>23.123</v>
      </c>
    </row>
    <row r="47">
      <c r="A47" s="5" t="inlineStr">
        <is>
          <t>P0021</t>
        </is>
      </c>
      <c r="B47" s="5" t="inlineStr">
        <is>
          <t>Electronics Item 021</t>
        </is>
      </c>
      <c r="C47" s="5" t="inlineStr">
        <is>
          <t>Electronics</t>
        </is>
      </c>
      <c r="D47" s="5" t="inlineStr">
        <is>
          <t>A</t>
        </is>
      </c>
      <c r="E47" s="5" t="inlineStr">
        <is>
          <t>S01</t>
        </is>
      </c>
      <c r="F47" s="25" t="n">
        <v>15</v>
      </c>
      <c r="G47" s="8" t="n">
        <v>0.021</v>
      </c>
      <c r="H47" s="25" t="n">
        <v>111</v>
      </c>
      <c r="I47" s="22" t="n">
        <v>65.56</v>
      </c>
      <c r="J47" s="29">
        <f>H47*I47</f>
        <v/>
      </c>
      <c r="K47" s="32" t="n">
        <v>11.857</v>
      </c>
      <c r="L47" s="28" t="n">
        <v>30.784</v>
      </c>
    </row>
    <row r="48">
      <c r="A48" s="5" t="inlineStr">
        <is>
          <t>P0009</t>
        </is>
      </c>
      <c r="B48" s="5" t="inlineStr">
        <is>
          <t>Electronics Item 009</t>
        </is>
      </c>
      <c r="C48" s="5" t="inlineStr">
        <is>
          <t>Electronics</t>
        </is>
      </c>
      <c r="D48" s="5" t="inlineStr">
        <is>
          <t>B</t>
        </is>
      </c>
      <c r="E48" s="5" t="inlineStr">
        <is>
          <t>S04</t>
        </is>
      </c>
      <c r="F48" s="25" t="n">
        <v>83</v>
      </c>
      <c r="G48" s="8" t="n">
        <v>0.114</v>
      </c>
      <c r="H48" s="25" t="n">
        <v>102</v>
      </c>
      <c r="I48" s="22" t="n">
        <v>57.06</v>
      </c>
      <c r="J48" s="29">
        <f>H48*I48</f>
        <v/>
      </c>
      <c r="K48" s="32" t="n">
        <v>4.442</v>
      </c>
      <c r="L48" s="28" t="n">
        <v>82.173</v>
      </c>
    </row>
    <row r="49">
      <c r="A49" s="5" t="inlineStr">
        <is>
          <t>P0075</t>
        </is>
      </c>
      <c r="B49" s="5" t="inlineStr">
        <is>
          <t>Outdoor Item 075</t>
        </is>
      </c>
      <c r="C49" s="5" t="inlineStr">
        <is>
          <t>Outdoor &amp; Garden</t>
        </is>
      </c>
      <c r="D49" s="5" t="inlineStr">
        <is>
          <t>B</t>
        </is>
      </c>
      <c r="E49" s="5" t="inlineStr">
        <is>
          <t>S10</t>
        </is>
      </c>
      <c r="F49" s="25" t="n">
        <v>49</v>
      </c>
      <c r="G49" s="8" t="n">
        <v>0.067</v>
      </c>
      <c r="H49" s="25" t="n">
        <v>38</v>
      </c>
      <c r="I49" s="22" t="n">
        <v>152.65</v>
      </c>
      <c r="J49" s="29">
        <f>H49*I49</f>
        <v/>
      </c>
      <c r="K49" s="32" t="n">
        <v>3.097</v>
      </c>
      <c r="L49" s="28" t="n">
        <v>117.865</v>
      </c>
    </row>
    <row r="50">
      <c r="A50" s="5" t="inlineStr">
        <is>
          <t>P0096</t>
        </is>
      </c>
      <c r="B50" s="5" t="inlineStr">
        <is>
          <t>Office Item 096</t>
        </is>
      </c>
      <c r="C50" s="5" t="inlineStr">
        <is>
          <t>Office Supplies</t>
        </is>
      </c>
      <c r="D50" s="5" t="inlineStr">
        <is>
          <t>B</t>
        </is>
      </c>
      <c r="E50" s="5" t="inlineStr">
        <is>
          <t>S02</t>
        </is>
      </c>
      <c r="F50" s="25" t="n">
        <v>28</v>
      </c>
      <c r="G50" s="8" t="n">
        <v>0.038</v>
      </c>
      <c r="H50" s="25" t="n">
        <v>306</v>
      </c>
      <c r="I50" s="22" t="n">
        <v>18.9</v>
      </c>
      <c r="J50" s="29">
        <f>H50*I50</f>
        <v/>
      </c>
      <c r="K50" s="32" t="n">
        <v>10.825</v>
      </c>
      <c r="L50" s="28" t="n">
        <v>33.717</v>
      </c>
    </row>
    <row r="51">
      <c r="A51" s="5" t="inlineStr">
        <is>
          <t>P0094</t>
        </is>
      </c>
      <c r="B51" s="5" t="inlineStr">
        <is>
          <t>Office Item 094</t>
        </is>
      </c>
      <c r="C51" s="5" t="inlineStr">
        <is>
          <t>Office Supplies</t>
        </is>
      </c>
      <c r="D51" s="5" t="inlineStr">
        <is>
          <t>B</t>
        </is>
      </c>
      <c r="E51" s="5" t="inlineStr">
        <is>
          <t>S06</t>
        </is>
      </c>
      <c r="F51" s="25" t="n">
        <v>66</v>
      </c>
      <c r="G51" s="8" t="n">
        <v>0.09</v>
      </c>
      <c r="H51" s="25" t="n">
        <v>275</v>
      </c>
      <c r="I51" s="22" t="n">
        <v>19.98</v>
      </c>
      <c r="J51" s="29">
        <f>H51*I51</f>
        <v/>
      </c>
      <c r="K51" s="32" t="n">
        <v>36.48</v>
      </c>
      <c r="L51" s="28" t="n">
        <v>10.006</v>
      </c>
    </row>
    <row r="52">
      <c r="A52" s="5" t="inlineStr">
        <is>
          <t>P0055</t>
        </is>
      </c>
      <c r="B52" s="5" t="inlineStr">
        <is>
          <t>Home Item 055</t>
        </is>
      </c>
      <c r="C52" s="5" t="inlineStr">
        <is>
          <t>Home &amp; Kitchen</t>
        </is>
      </c>
      <c r="D52" s="5" t="inlineStr">
        <is>
          <t>B</t>
        </is>
      </c>
      <c r="E52" s="5" t="inlineStr">
        <is>
          <t>S09</t>
        </is>
      </c>
      <c r="F52" s="25" t="n">
        <v>66</v>
      </c>
      <c r="G52" s="8" t="n">
        <v>0.09</v>
      </c>
      <c r="H52" s="25" t="n">
        <v>278</v>
      </c>
      <c r="I52" s="22" t="n">
        <v>18.2</v>
      </c>
      <c r="J52" s="29">
        <f>H52*I52</f>
        <v/>
      </c>
      <c r="K52" s="32" t="n">
        <v>9.738</v>
      </c>
      <c r="L52" s="28" t="n">
        <v>37.48</v>
      </c>
    </row>
    <row r="53">
      <c r="A53" s="5" t="inlineStr">
        <is>
          <t>P0101</t>
        </is>
      </c>
      <c r="B53" s="5" t="inlineStr">
        <is>
          <t>Office Item 101</t>
        </is>
      </c>
      <c r="C53" s="5" t="inlineStr">
        <is>
          <t>Office Supplies</t>
        </is>
      </c>
      <c r="D53" s="5" t="inlineStr">
        <is>
          <t>B</t>
        </is>
      </c>
      <c r="E53" s="5" t="inlineStr">
        <is>
          <t>S07</t>
        </is>
      </c>
      <c r="F53" s="25" t="n">
        <v>76</v>
      </c>
      <c r="G53" s="8" t="n">
        <v>0.104</v>
      </c>
      <c r="H53" s="25" t="n">
        <v>300</v>
      </c>
      <c r="I53" s="22" t="n">
        <v>16.3</v>
      </c>
      <c r="J53" s="29">
        <f>H53*I53</f>
        <v/>
      </c>
      <c r="K53" s="32" t="n">
        <v>17.389</v>
      </c>
      <c r="L53" s="28" t="n">
        <v>20.99</v>
      </c>
    </row>
    <row r="54">
      <c r="A54" s="5" t="inlineStr">
        <is>
          <t>P0080</t>
        </is>
      </c>
      <c r="B54" s="5" t="inlineStr">
        <is>
          <t>Outdoor Item 080</t>
        </is>
      </c>
      <c r="C54" s="5" t="inlineStr">
        <is>
          <t>Outdoor &amp; Garden</t>
        </is>
      </c>
      <c r="D54" s="5" t="inlineStr">
        <is>
          <t>B</t>
        </is>
      </c>
      <c r="E54" s="5" t="inlineStr">
        <is>
          <t>S09</t>
        </is>
      </c>
      <c r="F54" s="25" t="n">
        <v>25</v>
      </c>
      <c r="G54" s="8" t="n">
        <v>0.034</v>
      </c>
      <c r="H54" s="25" t="n">
        <v>27</v>
      </c>
      <c r="I54" s="22" t="n">
        <v>164.45</v>
      </c>
      <c r="J54" s="29">
        <f>H54*I54</f>
        <v/>
      </c>
      <c r="K54" s="32" t="n">
        <v>2.741</v>
      </c>
      <c r="L54" s="28" t="n">
        <v>133.18</v>
      </c>
    </row>
    <row r="55">
      <c r="A55" s="5" t="inlineStr">
        <is>
          <t>P0124</t>
        </is>
      </c>
      <c r="B55" s="5" t="inlineStr">
        <is>
          <t>Health Item 124</t>
        </is>
      </c>
      <c r="C55" s="5" t="inlineStr">
        <is>
          <t>Health &amp; Safety</t>
        </is>
      </c>
      <c r="D55" s="5" t="inlineStr">
        <is>
          <t>B</t>
        </is>
      </c>
      <c r="E55" s="5" t="inlineStr">
        <is>
          <t>S07</t>
        </is>
      </c>
      <c r="F55" s="25" t="n">
        <v>24</v>
      </c>
      <c r="G55" s="8" t="n">
        <v>0.033</v>
      </c>
      <c r="H55" s="25" t="n">
        <v>73</v>
      </c>
      <c r="I55" s="22" t="n">
        <v>60.8</v>
      </c>
      <c r="J55" s="29">
        <f>H55*I55</f>
        <v/>
      </c>
      <c r="K55" s="32" t="n">
        <v>6.296</v>
      </c>
      <c r="L55" s="28" t="n">
        <v>57.977</v>
      </c>
    </row>
    <row r="56">
      <c r="A56" s="5" t="inlineStr">
        <is>
          <t>P0022</t>
        </is>
      </c>
      <c r="B56" s="5" t="inlineStr">
        <is>
          <t>Electronics Item 022</t>
        </is>
      </c>
      <c r="C56" s="5" t="inlineStr">
        <is>
          <t>Electronics</t>
        </is>
      </c>
      <c r="D56" s="5" t="inlineStr">
        <is>
          <t>A</t>
        </is>
      </c>
      <c r="E56" s="5" t="inlineStr">
        <is>
          <t>S03</t>
        </is>
      </c>
      <c r="F56" s="25" t="n">
        <v>3</v>
      </c>
      <c r="G56" s="8" t="n">
        <v>0.004</v>
      </c>
      <c r="H56" s="25" t="n">
        <v>96</v>
      </c>
      <c r="I56" s="22" t="n">
        <v>45.75</v>
      </c>
      <c r="J56" s="29">
        <f>H56*I56</f>
        <v/>
      </c>
      <c r="K56" s="32" t="n">
        <v>9.324</v>
      </c>
      <c r="L56" s="28" t="n">
        <v>39.145</v>
      </c>
    </row>
    <row r="57">
      <c r="A57" s="5" t="inlineStr">
        <is>
          <t>P0031</t>
        </is>
      </c>
      <c r="B57" s="5" t="inlineStr">
        <is>
          <t>Home Item 031</t>
        </is>
      </c>
      <c r="C57" s="5" t="inlineStr">
        <is>
          <t>Home &amp; Kitchen</t>
        </is>
      </c>
      <c r="D57" s="5" t="inlineStr">
        <is>
          <t>B</t>
        </is>
      </c>
      <c r="E57" s="5" t="inlineStr">
        <is>
          <t>S01</t>
        </is>
      </c>
      <c r="F57" s="25" t="n">
        <v>41</v>
      </c>
      <c r="G57" s="8" t="n">
        <v>0.056</v>
      </c>
      <c r="H57" s="25" t="n">
        <v>66</v>
      </c>
      <c r="I57" s="22" t="n">
        <v>59.38</v>
      </c>
      <c r="J57" s="29">
        <f>H57*I57</f>
        <v/>
      </c>
      <c r="K57" s="32" t="n">
        <v>25.858</v>
      </c>
      <c r="L57" s="28" t="n">
        <v>14.115</v>
      </c>
    </row>
    <row r="58">
      <c r="A58" s="5" t="inlineStr">
        <is>
          <t>P0051</t>
        </is>
      </c>
      <c r="B58" s="5" t="inlineStr">
        <is>
          <t>Home Item 051</t>
        </is>
      </c>
      <c r="C58" s="5" t="inlineStr">
        <is>
          <t>Home &amp; Kitchen</t>
        </is>
      </c>
      <c r="D58" s="5" t="inlineStr">
        <is>
          <t>C</t>
        </is>
      </c>
      <c r="E58" s="5" t="inlineStr">
        <is>
          <t>S09</t>
        </is>
      </c>
      <c r="F58" s="25" t="n">
        <v>69</v>
      </c>
      <c r="G58" s="8" t="n">
        <v>0.094</v>
      </c>
      <c r="H58" s="25" t="n">
        <v>338</v>
      </c>
      <c r="I58" s="22" t="n">
        <v>11.18</v>
      </c>
      <c r="J58" s="29">
        <f>H58*I58</f>
        <v/>
      </c>
      <c r="K58" s="32" t="n">
        <v>15.798</v>
      </c>
      <c r="L58" s="28" t="n">
        <v>23.105</v>
      </c>
    </row>
    <row r="59">
      <c r="A59" s="5" t="inlineStr">
        <is>
          <t>P0079</t>
        </is>
      </c>
      <c r="B59" s="5" t="inlineStr">
        <is>
          <t>Outdoor Item 079</t>
        </is>
      </c>
      <c r="C59" s="5" t="inlineStr">
        <is>
          <t>Outdoor &amp; Garden</t>
        </is>
      </c>
      <c r="D59" s="5" t="inlineStr">
        <is>
          <t>C</t>
        </is>
      </c>
      <c r="E59" s="5" t="inlineStr">
        <is>
          <t>S08</t>
        </is>
      </c>
      <c r="F59" s="25" t="n">
        <v>100</v>
      </c>
      <c r="G59" s="8" t="n">
        <v>0.137</v>
      </c>
      <c r="H59" s="25" t="n">
        <v>72</v>
      </c>
      <c r="I59" s="22" t="n">
        <v>45.4</v>
      </c>
      <c r="J59" s="29">
        <f>H59*I59</f>
        <v/>
      </c>
      <c r="K59" s="32" t="n">
        <v>26.901</v>
      </c>
      <c r="L59" s="28" t="n">
        <v>13.568</v>
      </c>
    </row>
    <row r="60">
      <c r="A60" s="5" t="inlineStr">
        <is>
          <t>P0036</t>
        </is>
      </c>
      <c r="B60" s="5" t="inlineStr">
        <is>
          <t>Home Item 036</t>
        </is>
      </c>
      <c r="C60" s="5" t="inlineStr">
        <is>
          <t>Home &amp; Kitchen</t>
        </is>
      </c>
      <c r="D60" s="5" t="inlineStr">
        <is>
          <t>B</t>
        </is>
      </c>
      <c r="E60" s="5" t="inlineStr">
        <is>
          <t>S01</t>
        </is>
      </c>
      <c r="F60" s="25" t="n">
        <v>36</v>
      </c>
      <c r="G60" s="8" t="n">
        <v>0.049</v>
      </c>
      <c r="H60" s="25" t="n">
        <v>113</v>
      </c>
      <c r="I60" s="22" t="n">
        <v>28.1</v>
      </c>
      <c r="J60" s="29">
        <f>H60*I60</f>
        <v/>
      </c>
      <c r="K60" s="32" t="n">
        <v>27.377</v>
      </c>
      <c r="L60" s="28" t="n">
        <v>13.332</v>
      </c>
    </row>
    <row r="61">
      <c r="A61" s="5" t="inlineStr">
        <is>
          <t>P0115</t>
        </is>
      </c>
      <c r="B61" s="5" t="inlineStr">
        <is>
          <t>Health Item 115</t>
        </is>
      </c>
      <c r="C61" s="5" t="inlineStr">
        <is>
          <t>Health &amp; Safety</t>
        </is>
      </c>
      <c r="D61" s="5" t="inlineStr">
        <is>
          <t>B</t>
        </is>
      </c>
      <c r="E61" s="5" t="inlineStr">
        <is>
          <t>S04</t>
        </is>
      </c>
      <c r="F61" s="25" t="n">
        <v>38</v>
      </c>
      <c r="G61" s="8" t="n">
        <v>0.052</v>
      </c>
      <c r="H61" s="25" t="n">
        <v>42</v>
      </c>
      <c r="I61" s="22" t="n">
        <v>73.88</v>
      </c>
      <c r="J61" s="29">
        <f>H61*I61</f>
        <v/>
      </c>
      <c r="K61" s="32" t="n">
        <v>3.534</v>
      </c>
      <c r="L61" s="28" t="n">
        <v>103.289</v>
      </c>
    </row>
    <row r="62">
      <c r="A62" s="5" t="inlineStr">
        <is>
          <t>P0048</t>
        </is>
      </c>
      <c r="B62" s="5" t="inlineStr">
        <is>
          <t>Home Item 048</t>
        </is>
      </c>
      <c r="C62" s="5" t="inlineStr">
        <is>
          <t>Home &amp; Kitchen</t>
        </is>
      </c>
      <c r="D62" s="5" t="inlineStr">
        <is>
          <t>C</t>
        </is>
      </c>
      <c r="E62" s="5" t="inlineStr">
        <is>
          <t>S06</t>
        </is>
      </c>
      <c r="F62" s="25" t="n">
        <v>49</v>
      </c>
      <c r="G62" s="8" t="n">
        <v>0.067</v>
      </c>
      <c r="H62" s="25" t="n">
        <v>118</v>
      </c>
      <c r="I62" s="22" t="n">
        <v>25.14</v>
      </c>
      <c r="J62" s="29">
        <f>H62*I62</f>
        <v/>
      </c>
      <c r="K62" s="32" t="n">
        <v>22.463</v>
      </c>
      <c r="L62" s="28" t="n">
        <v>16.249</v>
      </c>
    </row>
    <row r="63">
      <c r="A63" s="5" t="inlineStr">
        <is>
          <t>P0084</t>
        </is>
      </c>
      <c r="B63" s="5" t="inlineStr">
        <is>
          <t>Office Item 084</t>
        </is>
      </c>
      <c r="C63" s="5" t="inlineStr">
        <is>
          <t>Office Supplies</t>
        </is>
      </c>
      <c r="D63" s="5" t="inlineStr">
        <is>
          <t>C</t>
        </is>
      </c>
      <c r="E63" s="5" t="inlineStr">
        <is>
          <t>S10</t>
        </is>
      </c>
      <c r="F63" s="25" t="n">
        <v>191</v>
      </c>
      <c r="G63" s="8" t="n">
        <v>0.261</v>
      </c>
      <c r="H63" s="25" t="n">
        <v>725</v>
      </c>
      <c r="I63" s="22" t="n">
        <v>4.04</v>
      </c>
      <c r="J63" s="29">
        <f>H63*I63</f>
        <v/>
      </c>
      <c r="K63" s="32" t="n">
        <v>25.787</v>
      </c>
      <c r="L63" s="28" t="n">
        <v>14.155</v>
      </c>
    </row>
    <row r="64">
      <c r="A64" s="5" t="inlineStr">
        <is>
          <t>P0102</t>
        </is>
      </c>
      <c r="B64" s="5" t="inlineStr">
        <is>
          <t>Office Item 102</t>
        </is>
      </c>
      <c r="C64" s="5" t="inlineStr">
        <is>
          <t>Office Supplies</t>
        </is>
      </c>
      <c r="D64" s="5" t="inlineStr">
        <is>
          <t>B</t>
        </is>
      </c>
      <c r="E64" s="5" t="inlineStr">
        <is>
          <t>S06</t>
        </is>
      </c>
      <c r="F64" s="25" t="n">
        <v>31</v>
      </c>
      <c r="G64" s="8" t="n">
        <v>0.042</v>
      </c>
      <c r="H64" s="25" t="n">
        <v>98</v>
      </c>
      <c r="I64" s="22" t="n">
        <v>29.58</v>
      </c>
      <c r="J64" s="29">
        <f>H64*I64</f>
        <v/>
      </c>
      <c r="K64" s="32" t="n">
        <v>18.417</v>
      </c>
      <c r="L64" s="28" t="n">
        <v>19.819</v>
      </c>
    </row>
    <row r="65">
      <c r="A65" s="5" t="inlineStr">
        <is>
          <t>P0128</t>
        </is>
      </c>
      <c r="B65" s="5" t="inlineStr">
        <is>
          <t>Health Item 128</t>
        </is>
      </c>
      <c r="C65" s="5" t="inlineStr">
        <is>
          <t>Health &amp; Safety</t>
        </is>
      </c>
      <c r="D65" s="5" t="inlineStr">
        <is>
          <t>B</t>
        </is>
      </c>
      <c r="E65" s="5" t="inlineStr">
        <is>
          <t>S10</t>
        </is>
      </c>
      <c r="F65" s="25" t="n">
        <v>14</v>
      </c>
      <c r="G65" s="8" t="n">
        <v>0.019</v>
      </c>
      <c r="H65" s="25" t="n">
        <v>81</v>
      </c>
      <c r="I65" s="22" t="n">
        <v>35.15</v>
      </c>
      <c r="J65" s="29">
        <f>H65*I65</f>
        <v/>
      </c>
      <c r="K65" s="32" t="n">
        <v>6.186</v>
      </c>
      <c r="L65" s="28" t="n">
        <v>59.009</v>
      </c>
    </row>
    <row r="66">
      <c r="A66" s="5" t="inlineStr">
        <is>
          <t>P0007</t>
        </is>
      </c>
      <c r="B66" s="5" t="inlineStr">
        <is>
          <t>Electronics Item 007</t>
        </is>
      </c>
      <c r="C66" s="5" t="inlineStr">
        <is>
          <t>Electronics</t>
        </is>
      </c>
      <c r="D66" s="5" t="inlineStr">
        <is>
          <t>A</t>
        </is>
      </c>
      <c r="E66" s="5" t="inlineStr">
        <is>
          <t>S07</t>
        </is>
      </c>
      <c r="F66" s="25" t="n">
        <v>3</v>
      </c>
      <c r="G66" s="8" t="n">
        <v>0.004</v>
      </c>
      <c r="H66" s="25" t="n">
        <v>30</v>
      </c>
      <c r="I66" s="22" t="n">
        <v>90.48999999999999</v>
      </c>
      <c r="J66" s="29">
        <f>H66*I66</f>
        <v/>
      </c>
      <c r="K66" s="32" t="n">
        <v>5.905</v>
      </c>
      <c r="L66" s="28" t="n">
        <v>61.817</v>
      </c>
    </row>
    <row r="67">
      <c r="A67" s="5" t="inlineStr">
        <is>
          <t>P0062</t>
        </is>
      </c>
      <c r="B67" s="5" t="inlineStr">
        <is>
          <t>Outdoor Item 062</t>
        </is>
      </c>
      <c r="C67" s="5" t="inlineStr">
        <is>
          <t>Outdoor &amp; Garden</t>
        </is>
      </c>
      <c r="D67" s="5" t="inlineStr">
        <is>
          <t>C</t>
        </is>
      </c>
      <c r="E67" s="5" t="inlineStr">
        <is>
          <t>S08</t>
        </is>
      </c>
      <c r="F67" s="25" t="n">
        <v>116</v>
      </c>
      <c r="G67" s="8" t="n">
        <v>0.159</v>
      </c>
      <c r="H67" s="25" t="n">
        <v>124</v>
      </c>
      <c r="I67" s="22" t="n">
        <v>21.69</v>
      </c>
      <c r="J67" s="29">
        <f>H67*I67</f>
        <v/>
      </c>
      <c r="K67" s="32" t="n">
        <v>24.695</v>
      </c>
      <c r="L67" s="28" t="n">
        <v>14.78</v>
      </c>
    </row>
    <row r="68">
      <c r="A68" s="5" t="inlineStr">
        <is>
          <t>P0093</t>
        </is>
      </c>
      <c r="B68" s="5" t="inlineStr">
        <is>
          <t>Office Item 093</t>
        </is>
      </c>
      <c r="C68" s="5" t="inlineStr">
        <is>
          <t>Office Supplies</t>
        </is>
      </c>
      <c r="D68" s="5" t="inlineStr">
        <is>
          <t>B</t>
        </is>
      </c>
      <c r="E68" s="5" t="inlineStr">
        <is>
          <t>S06</t>
        </is>
      </c>
      <c r="F68" s="25" t="n">
        <v>16</v>
      </c>
      <c r="G68" s="8" t="n">
        <v>0.022</v>
      </c>
      <c r="H68" s="25" t="n">
        <v>61</v>
      </c>
      <c r="I68" s="22" t="n">
        <v>38.12</v>
      </c>
      <c r="J68" s="29">
        <f>H68*I68</f>
        <v/>
      </c>
      <c r="K68" s="32" t="n">
        <v>19.112</v>
      </c>
      <c r="L68" s="28" t="n">
        <v>19.098</v>
      </c>
    </row>
    <row r="69">
      <c r="A69" s="5" t="inlineStr">
        <is>
          <t>P0016</t>
        </is>
      </c>
      <c r="B69" s="5" t="inlineStr">
        <is>
          <t>Electronics Item 016</t>
        </is>
      </c>
      <c r="C69" s="5" t="inlineStr">
        <is>
          <t>Electronics</t>
        </is>
      </c>
      <c r="D69" s="5" t="inlineStr">
        <is>
          <t>A</t>
        </is>
      </c>
      <c r="E69" s="5" t="inlineStr">
        <is>
          <t>S08</t>
        </is>
      </c>
      <c r="F69" s="25" t="n">
        <v>9</v>
      </c>
      <c r="G69" s="8" t="n">
        <v>0.012</v>
      </c>
      <c r="H69" s="25" t="n">
        <v>12</v>
      </c>
      <c r="I69" s="22" t="n">
        <v>184.89</v>
      </c>
      <c r="J69" s="29">
        <f>H69*I69</f>
        <v/>
      </c>
      <c r="K69" s="32" t="n">
        <v>18.79</v>
      </c>
      <c r="L69" s="28" t="n">
        <v>19.425</v>
      </c>
    </row>
    <row r="70">
      <c r="A70" s="5" t="inlineStr">
        <is>
          <t>P0028</t>
        </is>
      </c>
      <c r="B70" s="5" t="inlineStr">
        <is>
          <t>Home Item 028</t>
        </is>
      </c>
      <c r="C70" s="5" t="inlineStr">
        <is>
          <t>Home &amp; Kitchen</t>
        </is>
      </c>
      <c r="D70" s="5" t="inlineStr">
        <is>
          <t>C</t>
        </is>
      </c>
      <c r="E70" s="5" t="inlineStr">
        <is>
          <t>S04</t>
        </is>
      </c>
      <c r="F70" s="25" t="n">
        <v>49</v>
      </c>
      <c r="G70" s="8" t="n">
        <v>0.067</v>
      </c>
      <c r="H70" s="25" t="n">
        <v>46</v>
      </c>
      <c r="I70" s="22" t="n">
        <v>47.88</v>
      </c>
      <c r="J70" s="29">
        <f>H70*I70</f>
        <v/>
      </c>
      <c r="K70" s="32" t="n">
        <v>2.498</v>
      </c>
      <c r="L70" s="28" t="n">
        <v>146.13</v>
      </c>
    </row>
    <row r="71">
      <c r="A71" s="5" t="inlineStr">
        <is>
          <t>P0027</t>
        </is>
      </c>
      <c r="B71" s="5" t="inlineStr">
        <is>
          <t>Home Item 027</t>
        </is>
      </c>
      <c r="C71" s="5" t="inlineStr">
        <is>
          <t>Home &amp; Kitchen</t>
        </is>
      </c>
      <c r="D71" s="5" t="inlineStr">
        <is>
          <t>B</t>
        </is>
      </c>
      <c r="E71" s="5" t="inlineStr">
        <is>
          <t>S03</t>
        </is>
      </c>
      <c r="F71" s="25" t="n">
        <v>33</v>
      </c>
      <c r="G71" s="8" t="n">
        <v>0.045</v>
      </c>
      <c r="H71" s="25" t="n">
        <v>38</v>
      </c>
      <c r="I71" s="22" t="n">
        <v>56.42</v>
      </c>
      <c r="J71" s="29">
        <f>H71*I71</f>
        <v/>
      </c>
      <c r="K71" s="32" t="n">
        <v>25.107</v>
      </c>
      <c r="L71" s="28" t="n">
        <v>14.538</v>
      </c>
    </row>
    <row r="72">
      <c r="A72" s="5" t="inlineStr">
        <is>
          <t>P0017</t>
        </is>
      </c>
      <c r="B72" s="5" t="inlineStr">
        <is>
          <t>Electronics Item 017</t>
        </is>
      </c>
      <c r="C72" s="5" t="inlineStr">
        <is>
          <t>Electronics</t>
        </is>
      </c>
      <c r="D72" s="5" t="inlineStr">
        <is>
          <t>B</t>
        </is>
      </c>
      <c r="E72" s="5" t="inlineStr">
        <is>
          <t>S03</t>
        </is>
      </c>
      <c r="F72" s="25" t="n">
        <v>20</v>
      </c>
      <c r="G72" s="8" t="n">
        <v>0.027</v>
      </c>
      <c r="H72" s="25" t="n">
        <v>18</v>
      </c>
      <c r="I72" s="22" t="n">
        <v>115.07</v>
      </c>
      <c r="J72" s="29">
        <f>H72*I72</f>
        <v/>
      </c>
      <c r="K72" s="32" t="n">
        <v>19.787</v>
      </c>
      <c r="L72" s="28" t="n">
        <v>18.446</v>
      </c>
    </row>
    <row r="73">
      <c r="A73" s="5" t="inlineStr">
        <is>
          <t>P0071</t>
        </is>
      </c>
      <c r="B73" s="5" t="inlineStr">
        <is>
          <t>Outdoor Item 071</t>
        </is>
      </c>
      <c r="C73" s="5" t="inlineStr">
        <is>
          <t>Outdoor &amp; Garden</t>
        </is>
      </c>
      <c r="D73" s="5" t="inlineStr">
        <is>
          <t>C</t>
        </is>
      </c>
      <c r="E73" s="5" t="inlineStr">
        <is>
          <t>S02</t>
        </is>
      </c>
      <c r="F73" s="25" t="n">
        <v>44</v>
      </c>
      <c r="G73" s="8" t="n">
        <v>0.06</v>
      </c>
      <c r="H73" s="25" t="n">
        <v>41</v>
      </c>
      <c r="I73" s="22" t="n">
        <v>47.88</v>
      </c>
      <c r="J73" s="29">
        <f>H73*I73</f>
        <v/>
      </c>
      <c r="K73" s="32" t="n">
        <v>13.018</v>
      </c>
      <c r="L73" s="28" t="n">
        <v>28.037</v>
      </c>
    </row>
    <row r="74">
      <c r="A74" s="5" t="inlineStr">
        <is>
          <t>P0109</t>
        </is>
      </c>
      <c r="B74" s="5" t="inlineStr">
        <is>
          <t>Office Item 109</t>
        </is>
      </c>
      <c r="C74" s="5" t="inlineStr">
        <is>
          <t>Office Supplies</t>
        </is>
      </c>
      <c r="D74" s="5" t="inlineStr">
        <is>
          <t>B</t>
        </is>
      </c>
      <c r="E74" s="5" t="inlineStr">
        <is>
          <t>S07</t>
        </is>
      </c>
      <c r="F74" s="25" t="n">
        <v>9</v>
      </c>
      <c r="G74" s="8" t="n">
        <v>0.012</v>
      </c>
      <c r="H74" s="25" t="n">
        <v>121</v>
      </c>
      <c r="I74" s="22" t="n">
        <v>15.72</v>
      </c>
      <c r="J74" s="29">
        <f>H74*I74</f>
        <v/>
      </c>
      <c r="K74" s="32" t="n">
        <v>22.465</v>
      </c>
      <c r="L74" s="28" t="n">
        <v>16.248</v>
      </c>
    </row>
    <row r="75">
      <c r="A75" s="5" t="inlineStr">
        <is>
          <t>P0106</t>
        </is>
      </c>
      <c r="B75" s="5" t="inlineStr">
        <is>
          <t>Office Item 106</t>
        </is>
      </c>
      <c r="C75" s="5" t="inlineStr">
        <is>
          <t>Office Supplies</t>
        </is>
      </c>
      <c r="D75" s="5" t="inlineStr">
        <is>
          <t>C</t>
        </is>
      </c>
      <c r="E75" s="5" t="inlineStr">
        <is>
          <t>S09</t>
        </is>
      </c>
      <c r="F75" s="25" t="n">
        <v>32</v>
      </c>
      <c r="G75" s="8" t="n">
        <v>0.044</v>
      </c>
      <c r="H75" s="25" t="n">
        <v>59</v>
      </c>
      <c r="I75" s="22" t="n">
        <v>29.46</v>
      </c>
      <c r="J75" s="29">
        <f>H75*I75</f>
        <v/>
      </c>
      <c r="K75" s="32" t="n">
        <v>7.747</v>
      </c>
      <c r="L75" s="28" t="n">
        <v>47.116</v>
      </c>
    </row>
    <row r="76">
      <c r="A76" s="5" t="inlineStr">
        <is>
          <t>P0076</t>
        </is>
      </c>
      <c r="B76" s="5" t="inlineStr">
        <is>
          <t>Outdoor Item 076</t>
        </is>
      </c>
      <c r="C76" s="5" t="inlineStr">
        <is>
          <t>Outdoor &amp; Garden</t>
        </is>
      </c>
      <c r="D76" s="5" t="inlineStr">
        <is>
          <t>C</t>
        </is>
      </c>
      <c r="E76" s="5" t="inlineStr">
        <is>
          <t>S10</t>
        </is>
      </c>
      <c r="F76" s="25" t="n">
        <v>50</v>
      </c>
      <c r="G76" s="8" t="n">
        <v>0.068</v>
      </c>
      <c r="H76" s="25" t="n">
        <v>68</v>
      </c>
      <c r="I76" s="22" t="n">
        <v>23.9</v>
      </c>
      <c r="J76" s="29">
        <f>H76*I76</f>
        <v/>
      </c>
      <c r="K76" s="32" t="n">
        <v>5.863</v>
      </c>
      <c r="L76" s="28" t="n">
        <v>62.253</v>
      </c>
    </row>
    <row r="77">
      <c r="A77" s="5" t="inlineStr">
        <is>
          <t>P0014</t>
        </is>
      </c>
      <c r="B77" s="5" t="inlineStr">
        <is>
          <t>Electronics Item 014</t>
        </is>
      </c>
      <c r="C77" s="5" t="inlineStr">
        <is>
          <t>Electronics</t>
        </is>
      </c>
      <c r="D77" s="5" t="inlineStr">
        <is>
          <t>B</t>
        </is>
      </c>
      <c r="E77" s="5" t="inlineStr">
        <is>
          <t>S09</t>
        </is>
      </c>
      <c r="F77" s="25" t="n">
        <v>15</v>
      </c>
      <c r="G77" s="8" t="n">
        <v>0.021</v>
      </c>
      <c r="H77" s="25" t="n">
        <v>15</v>
      </c>
      <c r="I77" s="22" t="n">
        <v>97.62</v>
      </c>
      <c r="J77" s="29">
        <f>H77*I77</f>
        <v/>
      </c>
      <c r="K77" s="32" t="n">
        <v>5.633</v>
      </c>
      <c r="L77" s="28" t="n">
        <v>64.79600000000001</v>
      </c>
    </row>
    <row r="78">
      <c r="A78" s="5" t="inlineStr">
        <is>
          <t>P0047</t>
        </is>
      </c>
      <c r="B78" s="5" t="inlineStr">
        <is>
          <t>Home Item 047</t>
        </is>
      </c>
      <c r="C78" s="5" t="inlineStr">
        <is>
          <t>Home &amp; Kitchen</t>
        </is>
      </c>
      <c r="D78" s="5" t="inlineStr">
        <is>
          <t>B</t>
        </is>
      </c>
      <c r="E78" s="5" t="inlineStr">
        <is>
          <t>S02</t>
        </is>
      </c>
      <c r="F78" s="25" t="n">
        <v>10</v>
      </c>
      <c r="G78" s="8" t="n">
        <v>0.014</v>
      </c>
      <c r="H78" s="25" t="n">
        <v>15</v>
      </c>
      <c r="I78" s="22" t="n">
        <v>97.40000000000001</v>
      </c>
      <c r="J78" s="29">
        <f>H78*I78</f>
        <v/>
      </c>
      <c r="K78" s="32" t="n">
        <v>8.071</v>
      </c>
      <c r="L78" s="28" t="n">
        <v>45.221</v>
      </c>
    </row>
    <row r="79">
      <c r="A79" s="5" t="inlineStr">
        <is>
          <t>P0032</t>
        </is>
      </c>
      <c r="B79" s="5" t="inlineStr">
        <is>
          <t>Home Item 032</t>
        </is>
      </c>
      <c r="C79" s="5" t="inlineStr">
        <is>
          <t>Home &amp; Kitchen</t>
        </is>
      </c>
      <c r="D79" s="5" t="inlineStr">
        <is>
          <t>B</t>
        </is>
      </c>
      <c r="E79" s="5" t="inlineStr">
        <is>
          <t>S01</t>
        </is>
      </c>
      <c r="F79" s="25" t="n">
        <v>12</v>
      </c>
      <c r="G79" s="8" t="n">
        <v>0.016</v>
      </c>
      <c r="H79" s="25" t="n">
        <v>15</v>
      </c>
      <c r="I79" s="22" t="n">
        <v>94.2</v>
      </c>
      <c r="J79" s="29">
        <f>H79*I79</f>
        <v/>
      </c>
      <c r="K79" s="32" t="n">
        <v>12.611</v>
      </c>
      <c r="L79" s="28" t="n">
        <v>28.944</v>
      </c>
    </row>
    <row r="80">
      <c r="A80" s="5" t="inlineStr">
        <is>
          <t>P0068</t>
        </is>
      </c>
      <c r="B80" s="5" t="inlineStr">
        <is>
          <t>Outdoor Item 068</t>
        </is>
      </c>
      <c r="C80" s="5" t="inlineStr">
        <is>
          <t>Outdoor &amp; Garden</t>
        </is>
      </c>
      <c r="D80" s="5" t="inlineStr">
        <is>
          <t>C</t>
        </is>
      </c>
      <c r="E80" s="5" t="inlineStr">
        <is>
          <t>S05</t>
        </is>
      </c>
      <c r="F80" s="25" t="n">
        <v>17</v>
      </c>
      <c r="G80" s="8" t="n">
        <v>0.023</v>
      </c>
      <c r="H80" s="25" t="n">
        <v>10</v>
      </c>
      <c r="I80" s="22" t="n">
        <v>136.44</v>
      </c>
      <c r="J80" s="29">
        <f>H80*I80</f>
        <v/>
      </c>
      <c r="K80" s="32" t="n">
        <v>11.19</v>
      </c>
      <c r="L80" s="28" t="n">
        <v>32.618</v>
      </c>
    </row>
    <row r="81">
      <c r="A81" s="5" t="inlineStr">
        <is>
          <t>P0141</t>
        </is>
      </c>
      <c r="B81" s="5" t="inlineStr">
        <is>
          <t>Packaging Item 141</t>
        </is>
      </c>
      <c r="C81" s="5" t="inlineStr">
        <is>
          <t>Packaging</t>
        </is>
      </c>
      <c r="D81" s="5" t="inlineStr">
        <is>
          <t>A</t>
        </is>
      </c>
      <c r="E81" s="5" t="inlineStr">
        <is>
          <t>S04</t>
        </is>
      </c>
      <c r="F81" s="25" t="n">
        <v>5</v>
      </c>
      <c r="G81" s="8" t="n">
        <v>0.007</v>
      </c>
      <c r="H81" s="25" t="n">
        <v>105</v>
      </c>
      <c r="I81" s="22" t="n">
        <v>12.94</v>
      </c>
      <c r="J81" s="29">
        <f>H81*I81</f>
        <v/>
      </c>
      <c r="K81" s="32" t="n">
        <v>11.562</v>
      </c>
      <c r="L81" s="28" t="n">
        <v>31.57</v>
      </c>
    </row>
    <row r="82">
      <c r="A82" s="5" t="inlineStr">
        <is>
          <t>P0100</t>
        </is>
      </c>
      <c r="B82" s="5" t="inlineStr">
        <is>
          <t>Office Item 100</t>
        </is>
      </c>
      <c r="C82" s="5" t="inlineStr">
        <is>
          <t>Office Supplies</t>
        </is>
      </c>
      <c r="D82" s="5" t="inlineStr">
        <is>
          <t>C</t>
        </is>
      </c>
      <c r="E82" s="5" t="inlineStr">
        <is>
          <t>S06</t>
        </is>
      </c>
      <c r="F82" s="25" t="n">
        <v>135</v>
      </c>
      <c r="G82" s="8" t="n">
        <v>0.185</v>
      </c>
      <c r="H82" s="25" t="n">
        <v>340</v>
      </c>
      <c r="I82" s="22" t="n">
        <v>3.99</v>
      </c>
      <c r="J82" s="29">
        <f>H82*I82</f>
        <v/>
      </c>
      <c r="K82" s="32" t="n">
        <v>29.099</v>
      </c>
      <c r="L82" s="28" t="n">
        <v>12.544</v>
      </c>
    </row>
    <row r="83">
      <c r="A83" s="5" t="inlineStr">
        <is>
          <t>P0095</t>
        </is>
      </c>
      <c r="B83" s="5" t="inlineStr">
        <is>
          <t>Office Item 095</t>
        </is>
      </c>
      <c r="C83" s="5" t="inlineStr">
        <is>
          <t>Office Supplies</t>
        </is>
      </c>
      <c r="D83" s="5" t="inlineStr">
        <is>
          <t>B</t>
        </is>
      </c>
      <c r="E83" s="5" t="inlineStr">
        <is>
          <t>S10</t>
        </is>
      </c>
      <c r="F83" s="25" t="n">
        <v>9</v>
      </c>
      <c r="G83" s="8" t="n">
        <v>0.012</v>
      </c>
      <c r="H83" s="25" t="n">
        <v>238</v>
      </c>
      <c r="I83" s="22" t="n">
        <v>5.5</v>
      </c>
      <c r="J83" s="29">
        <f>H83*I83</f>
        <v/>
      </c>
      <c r="K83" s="32" t="n">
        <v>17.561</v>
      </c>
      <c r="L83" s="28" t="n">
        <v>20.785</v>
      </c>
    </row>
    <row r="84">
      <c r="A84" s="5" t="inlineStr">
        <is>
          <t>P0046</t>
        </is>
      </c>
      <c r="B84" s="5" t="inlineStr">
        <is>
          <t>Home Item 046</t>
        </is>
      </c>
      <c r="C84" s="5" t="inlineStr">
        <is>
          <t>Home &amp; Kitchen</t>
        </is>
      </c>
      <c r="D84" s="5" t="inlineStr">
        <is>
          <t>C</t>
        </is>
      </c>
      <c r="E84" s="5" t="inlineStr">
        <is>
          <t>S07</t>
        </is>
      </c>
      <c r="F84" s="25" t="n">
        <v>14</v>
      </c>
      <c r="G84" s="8" t="n">
        <v>0.019</v>
      </c>
      <c r="H84" s="25" t="n">
        <v>20</v>
      </c>
      <c r="I84" s="22" t="n">
        <v>60.89</v>
      </c>
      <c r="J84" s="29">
        <f>H84*I84</f>
        <v/>
      </c>
      <c r="K84" s="32" t="n">
        <v>5.551</v>
      </c>
      <c r="L84" s="28" t="n">
        <v>65.754</v>
      </c>
    </row>
    <row r="85">
      <c r="A85" s="5" t="inlineStr">
        <is>
          <t>P0033</t>
        </is>
      </c>
      <c r="B85" s="5" t="inlineStr">
        <is>
          <t>Home Item 033</t>
        </is>
      </c>
      <c r="C85" s="5" t="inlineStr">
        <is>
          <t>Home &amp; Kitchen</t>
        </is>
      </c>
      <c r="D85" s="5" t="inlineStr">
        <is>
          <t>C</t>
        </is>
      </c>
      <c r="E85" s="5" t="inlineStr">
        <is>
          <t>S05</t>
        </is>
      </c>
      <c r="F85" s="25" t="n">
        <v>46</v>
      </c>
      <c r="G85" s="8" t="n">
        <v>0.063</v>
      </c>
      <c r="H85" s="25" t="n">
        <v>52</v>
      </c>
      <c r="I85" s="22" t="n">
        <v>21.39</v>
      </c>
      <c r="J85" s="29">
        <f>H85*I85</f>
        <v/>
      </c>
      <c r="K85" s="32" t="n">
        <v>34.24</v>
      </c>
      <c r="L85" s="28" t="n">
        <v>10.66</v>
      </c>
    </row>
    <row r="86">
      <c r="A86" s="5" t="inlineStr">
        <is>
          <t>P0005</t>
        </is>
      </c>
      <c r="B86" s="5" t="inlineStr">
        <is>
          <t>Electronics Item 005</t>
        </is>
      </c>
      <c r="C86" s="5" t="inlineStr">
        <is>
          <t>Electronics</t>
        </is>
      </c>
      <c r="D86" s="5" t="inlineStr">
        <is>
          <t>B</t>
        </is>
      </c>
      <c r="E86" s="5" t="inlineStr">
        <is>
          <t>S09</t>
        </is>
      </c>
      <c r="F86" s="25" t="n">
        <v>16</v>
      </c>
      <c r="G86" s="8" t="n">
        <v>0.022</v>
      </c>
      <c r="H86" s="25" t="n">
        <v>9</v>
      </c>
      <c r="I86" s="22" t="n">
        <v>111.04</v>
      </c>
      <c r="J86" s="29">
        <f>H86*I86</f>
        <v/>
      </c>
      <c r="K86" s="32" t="n">
        <v>2.662</v>
      </c>
      <c r="L86" s="28" t="n">
        <v>137.114</v>
      </c>
    </row>
    <row r="87">
      <c r="A87" s="5" t="inlineStr">
        <is>
          <t>P0042</t>
        </is>
      </c>
      <c r="B87" s="5" t="inlineStr">
        <is>
          <t>Home Item 042</t>
        </is>
      </c>
      <c r="C87" s="5" t="inlineStr">
        <is>
          <t>Home &amp; Kitchen</t>
        </is>
      </c>
      <c r="D87" s="5" t="inlineStr">
        <is>
          <t>B</t>
        </is>
      </c>
      <c r="E87" s="5" t="inlineStr">
        <is>
          <t>S06</t>
        </is>
      </c>
      <c r="F87" s="25" t="n">
        <v>9</v>
      </c>
      <c r="G87" s="8" t="n">
        <v>0.012</v>
      </c>
      <c r="H87" s="25" t="n">
        <v>29</v>
      </c>
      <c r="I87" s="22" t="n">
        <v>32.43</v>
      </c>
      <c r="J87" s="29">
        <f>H87*I87</f>
        <v/>
      </c>
      <c r="K87" s="32" t="n">
        <v>18.958</v>
      </c>
      <c r="L87" s="28" t="n">
        <v>19.253</v>
      </c>
    </row>
    <row r="88">
      <c r="A88" s="5" t="inlineStr">
        <is>
          <t>P0040</t>
        </is>
      </c>
      <c r="B88" s="5" t="inlineStr">
        <is>
          <t>Home Item 040</t>
        </is>
      </c>
      <c r="C88" s="5" t="inlineStr">
        <is>
          <t>Home &amp; Kitchen</t>
        </is>
      </c>
      <c r="D88" s="5" t="inlineStr">
        <is>
          <t>C</t>
        </is>
      </c>
      <c r="E88" s="5" t="inlineStr">
        <is>
          <t>S10</t>
        </is>
      </c>
      <c r="F88" s="25" t="n">
        <v>30</v>
      </c>
      <c r="G88" s="8" t="n">
        <v>0.041</v>
      </c>
      <c r="H88" s="25" t="n">
        <v>28</v>
      </c>
      <c r="I88" s="22" t="n">
        <v>33.15</v>
      </c>
      <c r="J88" s="29">
        <f>H88*I88</f>
        <v/>
      </c>
      <c r="K88" s="32" t="n">
        <v>5.457</v>
      </c>
      <c r="L88" s="28" t="n">
        <v>66.887</v>
      </c>
    </row>
    <row r="89">
      <c r="A89" s="5" t="inlineStr">
        <is>
          <t>P0087</t>
        </is>
      </c>
      <c r="B89" s="5" t="inlineStr">
        <is>
          <t>Office Item 087</t>
        </is>
      </c>
      <c r="C89" s="5" t="inlineStr">
        <is>
          <t>Office Supplies</t>
        </is>
      </c>
      <c r="D89" s="5" t="inlineStr">
        <is>
          <t>C</t>
        </is>
      </c>
      <c r="E89" s="5" t="inlineStr">
        <is>
          <t>S08</t>
        </is>
      </c>
      <c r="F89" s="25" t="n">
        <v>24</v>
      </c>
      <c r="G89" s="8" t="n">
        <v>0.033</v>
      </c>
      <c r="H89" s="25" t="n">
        <v>57</v>
      </c>
      <c r="I89" s="22" t="n">
        <v>14</v>
      </c>
      <c r="J89" s="29">
        <f>H89*I89</f>
        <v/>
      </c>
      <c r="K89" s="32" t="n">
        <v>23.459</v>
      </c>
      <c r="L89" s="28" t="n">
        <v>15.559</v>
      </c>
    </row>
    <row r="90">
      <c r="A90" s="5" t="inlineStr">
        <is>
          <t>P0078</t>
        </is>
      </c>
      <c r="B90" s="5" t="inlineStr">
        <is>
          <t>Outdoor Item 078</t>
        </is>
      </c>
      <c r="C90" s="5" t="inlineStr">
        <is>
          <t>Outdoor &amp; Garden</t>
        </is>
      </c>
      <c r="D90" s="5" t="inlineStr">
        <is>
          <t>C</t>
        </is>
      </c>
      <c r="E90" s="5" t="inlineStr">
        <is>
          <t>S02</t>
        </is>
      </c>
      <c r="F90" s="25" t="n">
        <v>27</v>
      </c>
      <c r="G90" s="8" t="n">
        <v>0.037</v>
      </c>
      <c r="H90" s="25" t="n">
        <v>39</v>
      </c>
      <c r="I90" s="22" t="n">
        <v>17.43</v>
      </c>
      <c r="J90" s="29">
        <f>H90*I90</f>
        <v/>
      </c>
      <c r="K90" s="32" t="n">
        <v>16.822</v>
      </c>
      <c r="L90" s="28" t="n">
        <v>21.698</v>
      </c>
    </row>
    <row r="91">
      <c r="A91" s="5" t="inlineStr">
        <is>
          <t>P0004</t>
        </is>
      </c>
      <c r="B91" s="5" t="inlineStr">
        <is>
          <t>Electronics Item 004</t>
        </is>
      </c>
      <c r="C91" s="5" t="inlineStr">
        <is>
          <t>Electronics</t>
        </is>
      </c>
      <c r="D91" s="5" t="inlineStr">
        <is>
          <t>A</t>
        </is>
      </c>
      <c r="E91" s="5" t="inlineStr">
        <is>
          <t>S04</t>
        </is>
      </c>
      <c r="F91" s="25" t="n">
        <v>3</v>
      </c>
      <c r="G91" s="8" t="n">
        <v>0.004</v>
      </c>
      <c r="H91" s="25" t="n">
        <v>2</v>
      </c>
      <c r="I91" s="22" t="n">
        <v>337.93</v>
      </c>
      <c r="J91" s="29">
        <f>H91*I91</f>
        <v/>
      </c>
      <c r="K91" s="32" t="n">
        <v>3.699</v>
      </c>
      <c r="L91" s="28" t="n">
        <v>98.67</v>
      </c>
    </row>
    <row r="92">
      <c r="A92" s="5" t="inlineStr">
        <is>
          <t>P0088</t>
        </is>
      </c>
      <c r="B92" s="5" t="inlineStr">
        <is>
          <t>Office Item 088</t>
        </is>
      </c>
      <c r="C92" s="5" t="inlineStr">
        <is>
          <t>Office Supplies</t>
        </is>
      </c>
      <c r="D92" s="5" t="inlineStr">
        <is>
          <t>C</t>
        </is>
      </c>
      <c r="E92" s="5" t="inlineStr">
        <is>
          <t>S04</t>
        </is>
      </c>
      <c r="F92" s="25" t="n">
        <v>40</v>
      </c>
      <c r="G92" s="8" t="n">
        <v>0.055</v>
      </c>
      <c r="H92" s="25" t="n">
        <v>32</v>
      </c>
      <c r="I92" s="22" t="n">
        <v>20.38</v>
      </c>
      <c r="J92" s="29">
        <f>H92*I92</f>
        <v/>
      </c>
      <c r="K92" s="32" t="n">
        <v>3.328</v>
      </c>
      <c r="L92" s="28" t="n">
        <v>109.662</v>
      </c>
    </row>
    <row r="93">
      <c r="A93" s="5" t="inlineStr">
        <is>
          <t>P0130</t>
        </is>
      </c>
      <c r="B93" s="5" t="inlineStr">
        <is>
          <t>Health Item 130</t>
        </is>
      </c>
      <c r="C93" s="5" t="inlineStr">
        <is>
          <t>Health &amp; Safety</t>
        </is>
      </c>
      <c r="D93" s="5" t="inlineStr">
        <is>
          <t>C</t>
        </is>
      </c>
      <c r="E93" s="5" t="inlineStr">
        <is>
          <t>S02</t>
        </is>
      </c>
      <c r="F93" s="25" t="n">
        <v>13</v>
      </c>
      <c r="G93" s="8" t="n">
        <v>0.018</v>
      </c>
      <c r="H93" s="25" t="n">
        <v>62</v>
      </c>
      <c r="I93" s="22" t="n">
        <v>9.99</v>
      </c>
      <c r="J93" s="29">
        <f>H93*I93</f>
        <v/>
      </c>
      <c r="K93" s="32" t="n">
        <v>17.889</v>
      </c>
      <c r="L93" s="28" t="n">
        <v>20.404</v>
      </c>
    </row>
    <row r="94">
      <c r="A94" s="5" t="inlineStr">
        <is>
          <t>P0114</t>
        </is>
      </c>
      <c r="B94" s="5" t="inlineStr">
        <is>
          <t>Health Item 114</t>
        </is>
      </c>
      <c r="C94" s="5" t="inlineStr">
        <is>
          <t>Health &amp; Safety</t>
        </is>
      </c>
      <c r="D94" s="5" t="inlineStr">
        <is>
          <t>C</t>
        </is>
      </c>
      <c r="E94" s="5" t="inlineStr">
        <is>
          <t>S03</t>
        </is>
      </c>
      <c r="F94" s="25" t="n">
        <v>25</v>
      </c>
      <c r="G94" s="8" t="n">
        <v>0.034</v>
      </c>
      <c r="H94" s="25" t="n">
        <v>20</v>
      </c>
      <c r="I94" s="22" t="n">
        <v>24.27</v>
      </c>
      <c r="J94" s="29">
        <f>H94*I94</f>
        <v/>
      </c>
      <c r="K94" s="32" t="n">
        <v>18.283</v>
      </c>
      <c r="L94" s="28" t="n">
        <v>19.964</v>
      </c>
    </row>
    <row r="95">
      <c r="A95" s="5" t="inlineStr">
        <is>
          <t>P0053</t>
        </is>
      </c>
      <c r="B95" s="5" t="inlineStr">
        <is>
          <t>Home Item 053</t>
        </is>
      </c>
      <c r="C95" s="5" t="inlineStr">
        <is>
          <t>Home &amp; Kitchen</t>
        </is>
      </c>
      <c r="D95" s="5" t="inlineStr">
        <is>
          <t>B</t>
        </is>
      </c>
      <c r="E95" s="5" t="inlineStr">
        <is>
          <t>S09</t>
        </is>
      </c>
      <c r="F95" s="25" t="n">
        <v>2</v>
      </c>
      <c r="G95" s="8" t="n">
        <v>0.003</v>
      </c>
      <c r="H95" s="25" t="n">
        <v>7</v>
      </c>
      <c r="I95" s="22" t="n">
        <v>68.09999999999999</v>
      </c>
      <c r="J95" s="29">
        <f>H95*I95</f>
        <v/>
      </c>
      <c r="K95" s="32" t="n">
        <v>5.156</v>
      </c>
      <c r="L95" s="28" t="n">
        <v>70.791</v>
      </c>
    </row>
    <row r="96">
      <c r="A96" s="5" t="inlineStr">
        <is>
          <t>P0081</t>
        </is>
      </c>
      <c r="B96" s="5" t="inlineStr">
        <is>
          <t>Office Item 081</t>
        </is>
      </c>
      <c r="C96" s="5" t="inlineStr">
        <is>
          <t>Office Supplies</t>
        </is>
      </c>
      <c r="D96" s="5" t="inlineStr">
        <is>
          <t>C</t>
        </is>
      </c>
      <c r="E96" s="5" t="inlineStr">
        <is>
          <t>S10</t>
        </is>
      </c>
      <c r="F96" s="25" t="n">
        <v>61</v>
      </c>
      <c r="G96" s="8" t="n">
        <v>0.083</v>
      </c>
      <c r="H96" s="25" t="n">
        <v>76</v>
      </c>
      <c r="I96" s="22" t="n">
        <v>6.1</v>
      </c>
      <c r="J96" s="29">
        <f>H96*I96</f>
        <v/>
      </c>
      <c r="K96" s="32" t="n">
        <v>7.253</v>
      </c>
      <c r="L96" s="28" t="n">
        <v>50.327</v>
      </c>
    </row>
    <row r="97">
      <c r="A97" s="5" t="inlineStr">
        <is>
          <t>P0092</t>
        </is>
      </c>
      <c r="B97" s="5" t="inlineStr">
        <is>
          <t>Office Item 092</t>
        </is>
      </c>
      <c r="C97" s="5" t="inlineStr">
        <is>
          <t>Office Supplies</t>
        </is>
      </c>
      <c r="D97" s="5" t="inlineStr">
        <is>
          <t>C</t>
        </is>
      </c>
      <c r="E97" s="5" t="inlineStr">
        <is>
          <t>S10</t>
        </is>
      </c>
      <c r="F97" s="25" t="n">
        <v>20</v>
      </c>
      <c r="G97" s="8" t="n">
        <v>0.027</v>
      </c>
      <c r="H97" s="25" t="n">
        <v>36</v>
      </c>
      <c r="I97" s="22" t="n">
        <v>12.67</v>
      </c>
      <c r="J97" s="29">
        <f>H97*I97</f>
        <v/>
      </c>
      <c r="K97" s="32" t="n">
        <v>11.937</v>
      </c>
      <c r="L97" s="28" t="n">
        <v>30.576</v>
      </c>
    </row>
    <row r="98">
      <c r="A98" s="5" t="inlineStr">
        <is>
          <t>P0117</t>
        </is>
      </c>
      <c r="B98" s="5" t="inlineStr">
        <is>
          <t>Health Item 117</t>
        </is>
      </c>
      <c r="C98" s="5" t="inlineStr">
        <is>
          <t>Health &amp; Safety</t>
        </is>
      </c>
      <c r="D98" s="5" t="inlineStr">
        <is>
          <t>C</t>
        </is>
      </c>
      <c r="E98" s="5" t="inlineStr">
        <is>
          <t>S02</t>
        </is>
      </c>
      <c r="F98" s="25" t="n">
        <v>13</v>
      </c>
      <c r="G98" s="8" t="n">
        <v>0.018</v>
      </c>
      <c r="H98" s="25" t="n">
        <v>44</v>
      </c>
      <c r="I98" s="22" t="n">
        <v>10.35</v>
      </c>
      <c r="J98" s="29">
        <f>H98*I98</f>
        <v/>
      </c>
      <c r="K98" s="32" t="n">
        <v>6.695</v>
      </c>
      <c r="L98" s="28" t="n">
        <v>54.515</v>
      </c>
    </row>
    <row r="99">
      <c r="A99" s="5" t="inlineStr">
        <is>
          <t>P0136</t>
        </is>
      </c>
      <c r="B99" s="5" t="inlineStr">
        <is>
          <t>Packaging Item 136</t>
        </is>
      </c>
      <c r="C99" s="5" t="inlineStr">
        <is>
          <t>Packaging</t>
        </is>
      </c>
      <c r="D99" s="5" t="inlineStr">
        <is>
          <t>C</t>
        </is>
      </c>
      <c r="E99" s="5" t="inlineStr">
        <is>
          <t>S03</t>
        </is>
      </c>
      <c r="F99" s="25" t="n">
        <v>35</v>
      </c>
      <c r="G99" s="8" t="n">
        <v>0.048</v>
      </c>
      <c r="H99" s="25" t="n">
        <v>95</v>
      </c>
      <c r="I99" s="22" t="n">
        <v>4.78</v>
      </c>
      <c r="J99" s="29">
        <f>H99*I99</f>
        <v/>
      </c>
      <c r="K99" s="32" t="n">
        <v>17.123</v>
      </c>
      <c r="L99" s="28" t="n">
        <v>21.316</v>
      </c>
    </row>
    <row r="100">
      <c r="A100" s="5" t="inlineStr">
        <is>
          <t>P0142</t>
        </is>
      </c>
      <c r="B100" s="5" t="inlineStr">
        <is>
          <t>Packaging Item 142</t>
        </is>
      </c>
      <c r="C100" s="5" t="inlineStr">
        <is>
          <t>Packaging</t>
        </is>
      </c>
      <c r="D100" s="5" t="inlineStr">
        <is>
          <t>C</t>
        </is>
      </c>
      <c r="E100" s="5" t="inlineStr">
        <is>
          <t>S06</t>
        </is>
      </c>
      <c r="F100" s="25" t="n">
        <v>12</v>
      </c>
      <c r="G100" s="8" t="n">
        <v>0.016</v>
      </c>
      <c r="H100" s="25" t="n">
        <v>45</v>
      </c>
      <c r="I100" s="22" t="n">
        <v>6.88</v>
      </c>
      <c r="J100" s="29">
        <f>H100*I100</f>
        <v/>
      </c>
      <c r="K100" s="32" t="n">
        <v>15.434</v>
      </c>
      <c r="L100" s="28" t="n">
        <v>23.649</v>
      </c>
    </row>
    <row r="101">
      <c r="A101" s="5" t="inlineStr">
        <is>
          <t>P0043</t>
        </is>
      </c>
      <c r="B101" s="5" t="inlineStr">
        <is>
          <t>Home Item 043</t>
        </is>
      </c>
      <c r="C101" s="5" t="inlineStr">
        <is>
          <t>Home &amp; Kitchen</t>
        </is>
      </c>
      <c r="D101" s="5" t="inlineStr">
        <is>
          <t>C</t>
        </is>
      </c>
      <c r="E101" s="5" t="inlineStr">
        <is>
          <t>S04</t>
        </is>
      </c>
      <c r="F101" s="25" t="n">
        <v>14</v>
      </c>
      <c r="G101" s="8" t="n">
        <v>0.019</v>
      </c>
      <c r="H101" s="25" t="n">
        <v>8</v>
      </c>
      <c r="I101" s="22" t="n">
        <v>36.47</v>
      </c>
      <c r="J101" s="29">
        <f>H101*I101</f>
        <v/>
      </c>
      <c r="K101" s="32" t="n">
        <v>1.209</v>
      </c>
      <c r="L101" s="28" t="n">
        <v>301.845</v>
      </c>
    </row>
    <row r="102">
      <c r="A102" s="5" t="inlineStr">
        <is>
          <t>P0038</t>
        </is>
      </c>
      <c r="B102" s="5" t="inlineStr">
        <is>
          <t>Home Item 038</t>
        </is>
      </c>
      <c r="C102" s="5" t="inlineStr">
        <is>
          <t>Home &amp; Kitchen</t>
        </is>
      </c>
      <c r="D102" s="5" t="inlineStr">
        <is>
          <t>C</t>
        </is>
      </c>
      <c r="E102" s="5" t="inlineStr">
        <is>
          <t>S06</t>
        </is>
      </c>
      <c r="F102" s="25" t="n">
        <v>11</v>
      </c>
      <c r="G102" s="8" t="n">
        <v>0.015</v>
      </c>
      <c r="H102" s="25" t="n">
        <v>19</v>
      </c>
      <c r="I102" s="22" t="n">
        <v>15.28</v>
      </c>
      <c r="J102" s="29">
        <f>H102*I102</f>
        <v/>
      </c>
      <c r="K102" s="32" t="n">
        <v>14.516</v>
      </c>
      <c r="L102" s="28" t="n">
        <v>25.145</v>
      </c>
    </row>
    <row r="103">
      <c r="A103" s="5" t="inlineStr">
        <is>
          <t>P0082</t>
        </is>
      </c>
      <c r="B103" s="5" t="inlineStr">
        <is>
          <t>Office Item 082</t>
        </is>
      </c>
      <c r="C103" s="5" t="inlineStr">
        <is>
          <t>Office Supplies</t>
        </is>
      </c>
      <c r="D103" s="5" t="inlineStr">
        <is>
          <t>C</t>
        </is>
      </c>
      <c r="E103" s="5" t="inlineStr">
        <is>
          <t>S05</t>
        </is>
      </c>
      <c r="F103" s="25" t="n">
        <v>10</v>
      </c>
      <c r="G103" s="8" t="n">
        <v>0.014</v>
      </c>
      <c r="H103" s="25" t="n">
        <v>79</v>
      </c>
      <c r="I103" s="22" t="n">
        <v>3.48</v>
      </c>
      <c r="J103" s="29">
        <f>H103*I103</f>
        <v/>
      </c>
      <c r="K103" s="32" t="n">
        <v>9.337999999999999</v>
      </c>
      <c r="L103" s="28" t="n">
        <v>39.086</v>
      </c>
    </row>
    <row r="104">
      <c r="A104" s="5" t="inlineStr">
        <is>
          <t>P0074</t>
        </is>
      </c>
      <c r="B104" s="5" t="inlineStr">
        <is>
          <t>Outdoor Item 074</t>
        </is>
      </c>
      <c r="C104" s="5" t="inlineStr">
        <is>
          <t>Outdoor &amp; Garden</t>
        </is>
      </c>
      <c r="D104" s="5" t="inlineStr">
        <is>
          <t>C</t>
        </is>
      </c>
      <c r="E104" s="5" t="inlineStr">
        <is>
          <t>S02</t>
        </is>
      </c>
      <c r="F104" s="25" t="n">
        <v>26</v>
      </c>
      <c r="G104" s="8" t="n">
        <v>0.036</v>
      </c>
      <c r="H104" s="25" t="n">
        <v>14</v>
      </c>
      <c r="I104" s="22" t="n">
        <v>18.09</v>
      </c>
      <c r="J104" s="29">
        <f>H104*I104</f>
        <v/>
      </c>
      <c r="K104" s="32" t="n">
        <v>6.47</v>
      </c>
      <c r="L104" s="28" t="n">
        <v>56.417</v>
      </c>
    </row>
    <row r="105">
      <c r="A105" s="5" t="inlineStr">
        <is>
          <t>P0086</t>
        </is>
      </c>
      <c r="B105" s="5" t="inlineStr">
        <is>
          <t>Office Item 086</t>
        </is>
      </c>
      <c r="C105" s="5" t="inlineStr">
        <is>
          <t>Office Supplies</t>
        </is>
      </c>
      <c r="D105" s="5" t="inlineStr">
        <is>
          <t>B</t>
        </is>
      </c>
      <c r="E105" s="5" t="inlineStr">
        <is>
          <t>S07</t>
        </is>
      </c>
      <c r="F105" s="25" t="n">
        <v>1</v>
      </c>
      <c r="G105" s="8" t="n">
        <v>0.001</v>
      </c>
      <c r="H105" s="25" t="n">
        <v>8</v>
      </c>
      <c r="I105" s="22" t="n">
        <v>30.95</v>
      </c>
      <c r="J105" s="29">
        <f>H105*I105</f>
        <v/>
      </c>
      <c r="K105" s="32" t="n">
        <v>7.365</v>
      </c>
      <c r="L105" s="28" t="n">
        <v>49.558</v>
      </c>
    </row>
    <row r="106">
      <c r="A106" s="5" t="inlineStr">
        <is>
          <t>P0113</t>
        </is>
      </c>
      <c r="B106" s="5" t="inlineStr">
        <is>
          <t>Health Item 113</t>
        </is>
      </c>
      <c r="C106" s="5" t="inlineStr">
        <is>
          <t>Health &amp; Safety</t>
        </is>
      </c>
      <c r="D106" s="5" t="inlineStr">
        <is>
          <t>C</t>
        </is>
      </c>
      <c r="E106" s="5" t="inlineStr">
        <is>
          <t>S05</t>
        </is>
      </c>
      <c r="F106" s="25" t="n">
        <v>10</v>
      </c>
      <c r="G106" s="8" t="n">
        <v>0.014</v>
      </c>
      <c r="H106" s="25" t="n">
        <v>29</v>
      </c>
      <c r="I106" s="22" t="n">
        <v>8.24</v>
      </c>
      <c r="J106" s="29">
        <f>H106*I106</f>
        <v/>
      </c>
      <c r="K106" s="32" t="n">
        <v>11.585</v>
      </c>
      <c r="L106" s="28" t="n">
        <v>31.506</v>
      </c>
    </row>
    <row r="107">
      <c r="A107" s="5" t="inlineStr">
        <is>
          <t>P0015</t>
        </is>
      </c>
      <c r="B107" s="5" t="inlineStr">
        <is>
          <t>Electronics Item 015</t>
        </is>
      </c>
      <c r="C107" s="5" t="inlineStr">
        <is>
          <t>Electronics</t>
        </is>
      </c>
      <c r="D107" s="5" t="inlineStr">
        <is>
          <t>C</t>
        </is>
      </c>
      <c r="E107" s="5" t="inlineStr">
        <is>
          <t>S08</t>
        </is>
      </c>
      <c r="F107" s="25" t="n">
        <v>8</v>
      </c>
      <c r="G107" s="8" t="n">
        <v>0.011</v>
      </c>
      <c r="H107" s="25" t="n">
        <v>4</v>
      </c>
      <c r="I107" s="22" t="n">
        <v>55.18</v>
      </c>
      <c r="J107" s="29">
        <f>H107*I107</f>
        <v/>
      </c>
      <c r="K107" s="32" t="n">
        <v>14.935</v>
      </c>
      <c r="L107" s="28" t="n">
        <v>24.439</v>
      </c>
    </row>
    <row r="108">
      <c r="A108" s="5" t="inlineStr">
        <is>
          <t>P0077</t>
        </is>
      </c>
      <c r="B108" s="5" t="inlineStr">
        <is>
          <t>Outdoor Item 077</t>
        </is>
      </c>
      <c r="C108" s="5" t="inlineStr">
        <is>
          <t>Outdoor &amp; Garden</t>
        </is>
      </c>
      <c r="D108" s="5" t="inlineStr">
        <is>
          <t>C</t>
        </is>
      </c>
      <c r="E108" s="5" t="inlineStr">
        <is>
          <t>S02</t>
        </is>
      </c>
      <c r="F108" s="25" t="n">
        <v>10</v>
      </c>
      <c r="G108" s="8" t="n">
        <v>0.014</v>
      </c>
      <c r="H108" s="25" t="n">
        <v>10</v>
      </c>
      <c r="I108" s="22" t="n">
        <v>20.76</v>
      </c>
      <c r="J108" s="29">
        <f>H108*I108</f>
        <v/>
      </c>
      <c r="K108" s="32" t="n">
        <v>7.012</v>
      </c>
      <c r="L108" s="28" t="n">
        <v>52.052</v>
      </c>
    </row>
    <row r="109">
      <c r="A109" s="5" t="inlineStr">
        <is>
          <t>P0110</t>
        </is>
      </c>
      <c r="B109" s="5" t="inlineStr">
        <is>
          <t>Office Item 110</t>
        </is>
      </c>
      <c r="C109" s="5" t="inlineStr">
        <is>
          <t>Office Supplies</t>
        </is>
      </c>
      <c r="D109" s="5" t="inlineStr">
        <is>
          <t>C</t>
        </is>
      </c>
      <c r="E109" s="5" t="inlineStr">
        <is>
          <t>S05</t>
        </is>
      </c>
      <c r="F109" s="25" t="n">
        <v>10</v>
      </c>
      <c r="G109" s="8" t="n">
        <v>0.014</v>
      </c>
      <c r="H109" s="25" t="n">
        <v>22</v>
      </c>
      <c r="I109" s="22" t="n">
        <v>9.26</v>
      </c>
      <c r="J109" s="29">
        <f>H109*I109</f>
        <v/>
      </c>
      <c r="K109" s="32" t="n">
        <v>5.292</v>
      </c>
      <c r="L109" s="28" t="n">
        <v>68.968</v>
      </c>
    </row>
    <row r="110">
      <c r="A110" s="5" t="inlineStr">
        <is>
          <t>P0026</t>
        </is>
      </c>
      <c r="B110" s="5" t="inlineStr">
        <is>
          <t>Home Item 026</t>
        </is>
      </c>
      <c r="C110" s="5" t="inlineStr">
        <is>
          <t>Home &amp; Kitchen</t>
        </is>
      </c>
      <c r="D110" s="5" t="inlineStr">
        <is>
          <t>C</t>
        </is>
      </c>
      <c r="E110" s="5" t="inlineStr">
        <is>
          <t>S05</t>
        </is>
      </c>
      <c r="F110" s="25" t="n">
        <v>18</v>
      </c>
      <c r="G110" s="8" t="n">
        <v>0.025</v>
      </c>
      <c r="H110" s="25" t="n">
        <v>13</v>
      </c>
      <c r="I110" s="22" t="n">
        <v>14.93</v>
      </c>
      <c r="J110" s="29">
        <f>H110*I110</f>
        <v/>
      </c>
      <c r="K110" s="32" t="n">
        <v>19.599</v>
      </c>
      <c r="L110" s="28" t="n">
        <v>18.623</v>
      </c>
    </row>
    <row r="111">
      <c r="A111" s="5" t="inlineStr">
        <is>
          <t>P0030</t>
        </is>
      </c>
      <c r="B111" s="5" t="inlineStr">
        <is>
          <t>Home Item 030</t>
        </is>
      </c>
      <c r="C111" s="5" t="inlineStr">
        <is>
          <t>Home &amp; Kitchen</t>
        </is>
      </c>
      <c r="D111" s="5" t="inlineStr">
        <is>
          <t>B</t>
        </is>
      </c>
      <c r="E111" s="5" t="inlineStr">
        <is>
          <t>S07</t>
        </is>
      </c>
      <c r="F111" s="25" t="n">
        <v>2</v>
      </c>
      <c r="G111" s="8" t="n">
        <v>0.003</v>
      </c>
      <c r="H111" s="25" t="n">
        <v>10</v>
      </c>
      <c r="I111" s="22" t="n">
        <v>19.36</v>
      </c>
      <c r="J111" s="29">
        <f>H111*I111</f>
        <v/>
      </c>
      <c r="K111" s="32" t="n">
        <v>13.976</v>
      </c>
      <c r="L111" s="28" t="n">
        <v>26.116</v>
      </c>
    </row>
    <row r="112">
      <c r="A112" s="5" t="inlineStr">
        <is>
          <t>P0058</t>
        </is>
      </c>
      <c r="B112" s="5" t="inlineStr">
        <is>
          <t>Outdoor Item 058</t>
        </is>
      </c>
      <c r="C112" s="5" t="inlineStr">
        <is>
          <t>Outdoor &amp; Garden</t>
        </is>
      </c>
      <c r="D112" s="5" t="inlineStr">
        <is>
          <t>C</t>
        </is>
      </c>
      <c r="E112" s="5" t="inlineStr">
        <is>
          <t>S10</t>
        </is>
      </c>
      <c r="F112" s="25" t="n">
        <v>12</v>
      </c>
      <c r="G112" s="8" t="n">
        <v>0.016</v>
      </c>
      <c r="H112" s="25" t="n">
        <v>3</v>
      </c>
      <c r="I112" s="22" t="n">
        <v>61.37</v>
      </c>
      <c r="J112" s="29">
        <f>H112*I112</f>
        <v/>
      </c>
      <c r="K112" s="32" t="n">
        <v>1.156</v>
      </c>
      <c r="L112" s="28" t="n">
        <v>315.697</v>
      </c>
    </row>
    <row r="113">
      <c r="A113" s="5" t="inlineStr">
        <is>
          <t>P0045</t>
        </is>
      </c>
      <c r="B113" s="5" t="inlineStr">
        <is>
          <t>Home Item 045</t>
        </is>
      </c>
      <c r="C113" s="5" t="inlineStr">
        <is>
          <t>Home &amp; Kitchen</t>
        </is>
      </c>
      <c r="D113" s="5" t="inlineStr">
        <is>
          <t>C</t>
        </is>
      </c>
      <c r="E113" s="5" t="inlineStr">
        <is>
          <t>S03</t>
        </is>
      </c>
      <c r="F113" s="25" t="n">
        <v>15</v>
      </c>
      <c r="G113" s="8" t="n">
        <v>0.021</v>
      </c>
      <c r="H113" s="25" t="n">
        <v>13</v>
      </c>
      <c r="I113" s="22" t="n">
        <v>13.1</v>
      </c>
      <c r="J113" s="29">
        <f>H113*I113</f>
        <v/>
      </c>
      <c r="K113" s="32" t="n">
        <v>8.787000000000001</v>
      </c>
      <c r="L113" s="28" t="n">
        <v>41.537</v>
      </c>
    </row>
    <row r="114">
      <c r="A114" s="5" t="inlineStr">
        <is>
          <t>P0150</t>
        </is>
      </c>
      <c r="B114" s="5" t="inlineStr">
        <is>
          <t>Packaging Item 150</t>
        </is>
      </c>
      <c r="C114" s="5" t="inlineStr">
        <is>
          <t>Packaging</t>
        </is>
      </c>
      <c r="D114" s="5" t="inlineStr">
        <is>
          <t>C</t>
        </is>
      </c>
      <c r="E114" s="5" t="inlineStr">
        <is>
          <t>S07</t>
        </is>
      </c>
      <c r="F114" s="25" t="n">
        <v>6</v>
      </c>
      <c r="G114" s="8" t="n">
        <v>0.008</v>
      </c>
      <c r="H114" s="25" t="n">
        <v>59</v>
      </c>
      <c r="I114" s="22" t="n">
        <v>2.82</v>
      </c>
      <c r="J114" s="29">
        <f>H114*I114</f>
        <v/>
      </c>
      <c r="K114" s="32" t="n">
        <v>8.016</v>
      </c>
      <c r="L114" s="28" t="n">
        <v>45.536</v>
      </c>
    </row>
    <row r="115">
      <c r="A115" s="5" t="inlineStr">
        <is>
          <t>P0149</t>
        </is>
      </c>
      <c r="B115" s="5" t="inlineStr">
        <is>
          <t>Packaging Item 149</t>
        </is>
      </c>
      <c r="C115" s="5" t="inlineStr">
        <is>
          <t>Packaging</t>
        </is>
      </c>
      <c r="D115" s="5" t="inlineStr">
        <is>
          <t>C</t>
        </is>
      </c>
      <c r="E115" s="5" t="inlineStr">
        <is>
          <t>S03</t>
        </is>
      </c>
      <c r="F115" s="25" t="n">
        <v>12</v>
      </c>
      <c r="G115" s="8" t="n">
        <v>0.016</v>
      </c>
      <c r="H115" s="25" t="n">
        <v>7</v>
      </c>
      <c r="I115" s="22" t="n">
        <v>23.21</v>
      </c>
      <c r="J115" s="29">
        <f>H115*I115</f>
        <v/>
      </c>
      <c r="K115" s="32" t="n">
        <v>8.287000000000001</v>
      </c>
      <c r="L115" s="28" t="n">
        <v>44.044</v>
      </c>
    </row>
    <row r="116">
      <c r="A116" s="5" t="inlineStr">
        <is>
          <t>P0107</t>
        </is>
      </c>
      <c r="B116" s="5" t="inlineStr">
        <is>
          <t>Office Item 107</t>
        </is>
      </c>
      <c r="C116" s="5" t="inlineStr">
        <is>
          <t>Office Supplies</t>
        </is>
      </c>
      <c r="D116" s="5" t="inlineStr">
        <is>
          <t>C</t>
        </is>
      </c>
      <c r="E116" s="5" t="inlineStr">
        <is>
          <t>S01</t>
        </is>
      </c>
      <c r="F116" s="25" t="n">
        <v>28</v>
      </c>
      <c r="G116" s="8" t="n">
        <v>0.038</v>
      </c>
      <c r="H116" s="25" t="n">
        <v>20</v>
      </c>
      <c r="I116" s="22" t="n">
        <v>7.7</v>
      </c>
      <c r="J116" s="29">
        <f>H116*I116</f>
        <v/>
      </c>
      <c r="K116" s="32" t="n">
        <v>18.125</v>
      </c>
      <c r="L116" s="28" t="n">
        <v>20.138</v>
      </c>
    </row>
    <row r="117">
      <c r="A117" s="5" t="inlineStr">
        <is>
          <t>P0035</t>
        </is>
      </c>
      <c r="B117" s="5" t="inlineStr">
        <is>
          <t>Home Item 035</t>
        </is>
      </c>
      <c r="C117" s="5" t="inlineStr">
        <is>
          <t>Home &amp; Kitchen</t>
        </is>
      </c>
      <c r="D117" s="5" t="inlineStr">
        <is>
          <t>B</t>
        </is>
      </c>
      <c r="E117" s="5" t="inlineStr">
        <is>
          <t>S07</t>
        </is>
      </c>
      <c r="F117" s="25" t="n">
        <v>4</v>
      </c>
      <c r="G117" s="8" t="n">
        <v>0.005</v>
      </c>
      <c r="H117" s="25" t="n">
        <v>3</v>
      </c>
      <c r="I117" s="22" t="n">
        <v>47.53</v>
      </c>
      <c r="J117" s="29">
        <f>H117*I117</f>
        <v/>
      </c>
      <c r="K117" s="32" t="n">
        <v>4.819</v>
      </c>
      <c r="L117" s="28" t="n">
        <v>75.741</v>
      </c>
    </row>
    <row r="118">
      <c r="A118" s="5" t="inlineStr">
        <is>
          <t>P0039</t>
        </is>
      </c>
      <c r="B118" s="5" t="inlineStr">
        <is>
          <t>Home Item 039</t>
        </is>
      </c>
      <c r="C118" s="5" t="inlineStr">
        <is>
          <t>Home &amp; Kitchen</t>
        </is>
      </c>
      <c r="D118" s="5" t="inlineStr">
        <is>
          <t>C</t>
        </is>
      </c>
      <c r="E118" s="5" t="inlineStr">
        <is>
          <t>S02</t>
        </is>
      </c>
      <c r="F118" s="25" t="n">
        <v>10</v>
      </c>
      <c r="G118" s="8" t="n">
        <v>0.014</v>
      </c>
      <c r="H118" s="25" t="n">
        <v>6</v>
      </c>
      <c r="I118" s="22" t="n">
        <v>23.68</v>
      </c>
      <c r="J118" s="29">
        <f>H118*I118</f>
        <v/>
      </c>
      <c r="K118" s="32" t="n">
        <v>7.421</v>
      </c>
      <c r="L118" s="28" t="n">
        <v>49.186</v>
      </c>
    </row>
    <row r="119">
      <c r="A119" s="5" t="inlineStr">
        <is>
          <t>P0127</t>
        </is>
      </c>
      <c r="B119" s="5" t="inlineStr">
        <is>
          <t>Health Item 127</t>
        </is>
      </c>
      <c r="C119" s="5" t="inlineStr">
        <is>
          <t>Health &amp; Safety</t>
        </is>
      </c>
      <c r="D119" s="5" t="inlineStr">
        <is>
          <t>C</t>
        </is>
      </c>
      <c r="E119" s="5" t="inlineStr">
        <is>
          <t>S06</t>
        </is>
      </c>
      <c r="F119" s="25" t="n">
        <v>6</v>
      </c>
      <c r="G119" s="8" t="n">
        <v>0.008</v>
      </c>
      <c r="H119" s="25" t="n">
        <v>9</v>
      </c>
      <c r="I119" s="22" t="n">
        <v>12.76</v>
      </c>
      <c r="J119" s="29">
        <f>H119*I119</f>
        <v/>
      </c>
      <c r="K119" s="32" t="n">
        <v>4.428</v>
      </c>
      <c r="L119" s="28" t="n">
        <v>82.438</v>
      </c>
    </row>
    <row r="120">
      <c r="A120" s="5" t="inlineStr">
        <is>
          <t>P0024</t>
        </is>
      </c>
      <c r="B120" s="5" t="inlineStr">
        <is>
          <t>Electronics Item 024</t>
        </is>
      </c>
      <c r="C120" s="5" t="inlineStr">
        <is>
          <t>Electronics</t>
        </is>
      </c>
      <c r="D120" s="5" t="inlineStr">
        <is>
          <t>B</t>
        </is>
      </c>
      <c r="E120" s="5" t="inlineStr">
        <is>
          <t>S07</t>
        </is>
      </c>
      <c r="F120" s="25" t="n">
        <v>3</v>
      </c>
      <c r="G120" s="8" t="n">
        <v>0.004</v>
      </c>
      <c r="H120" s="25" t="n">
        <v>1</v>
      </c>
      <c r="I120" s="22" t="n">
        <v>101.96</v>
      </c>
      <c r="J120" s="29">
        <f>H120*I120</f>
        <v/>
      </c>
      <c r="K120" s="32" t="n">
        <v>4.434</v>
      </c>
      <c r="L120" s="28" t="n">
        <v>82.316</v>
      </c>
    </row>
    <row r="121">
      <c r="A121" s="5" t="inlineStr">
        <is>
          <t>P0090</t>
        </is>
      </c>
      <c r="B121" s="5" t="inlineStr">
        <is>
          <t>Office Item 090</t>
        </is>
      </c>
      <c r="C121" s="5" t="inlineStr">
        <is>
          <t>Office Supplies</t>
        </is>
      </c>
      <c r="D121" s="5" t="inlineStr">
        <is>
          <t>C</t>
        </is>
      </c>
      <c r="E121" s="5" t="inlineStr">
        <is>
          <t>S04</t>
        </is>
      </c>
      <c r="F121" s="25" t="n">
        <v>4</v>
      </c>
      <c r="G121" s="8" t="n">
        <v>0.005</v>
      </c>
      <c r="H121" s="25" t="n">
        <v>11</v>
      </c>
      <c r="I121" s="22" t="n">
        <v>8.99</v>
      </c>
      <c r="J121" s="29">
        <f>H121*I121</f>
        <v/>
      </c>
      <c r="K121" s="32" t="n">
        <v>4.22</v>
      </c>
      <c r="L121" s="28" t="n">
        <v>86.5</v>
      </c>
    </row>
    <row r="122">
      <c r="A122" s="5" t="inlineStr">
        <is>
          <t>P0037</t>
        </is>
      </c>
      <c r="B122" s="5" t="inlineStr">
        <is>
          <t>Home Item 037</t>
        </is>
      </c>
      <c r="C122" s="5" t="inlineStr">
        <is>
          <t>Home &amp; Kitchen</t>
        </is>
      </c>
      <c r="D122" s="5" t="inlineStr">
        <is>
          <t>C</t>
        </is>
      </c>
      <c r="E122" s="5" t="inlineStr">
        <is>
          <t>S02</t>
        </is>
      </c>
      <c r="F122" s="25" t="n">
        <v>8</v>
      </c>
      <c r="G122" s="8" t="n">
        <v>0.011</v>
      </c>
      <c r="H122" s="25" t="n">
        <v>3</v>
      </c>
      <c r="I122" s="22" t="n">
        <v>22.7</v>
      </c>
      <c r="J122" s="29">
        <f>H122*I122</f>
        <v/>
      </c>
      <c r="K122" s="32" t="n">
        <v>5.803</v>
      </c>
      <c r="L122" s="28" t="n">
        <v>62.893</v>
      </c>
    </row>
    <row r="123">
      <c r="A123" s="5" t="inlineStr">
        <is>
          <t>P0099</t>
        </is>
      </c>
      <c r="B123" s="5" t="inlineStr">
        <is>
          <t>Office Item 099</t>
        </is>
      </c>
      <c r="C123" s="5" t="inlineStr">
        <is>
          <t>Office Supplies</t>
        </is>
      </c>
      <c r="D123" s="5" t="inlineStr">
        <is>
          <t>C</t>
        </is>
      </c>
      <c r="E123" s="5" t="inlineStr">
        <is>
          <t>S08</t>
        </is>
      </c>
      <c r="F123" s="25" t="n">
        <v>0</v>
      </c>
      <c r="G123" s="8" t="n">
        <v>0</v>
      </c>
      <c r="H123" s="25" t="n">
        <v>2</v>
      </c>
      <c r="I123" s="22" t="n">
        <v>32.48</v>
      </c>
      <c r="J123" s="29">
        <f>H123*I123</f>
        <v/>
      </c>
      <c r="K123" s="32" t="n">
        <v>4.787</v>
      </c>
      <c r="L123" s="28" t="n">
        <v>76.242</v>
      </c>
    </row>
    <row r="124">
      <c r="A124" s="5" t="inlineStr">
        <is>
          <t>P0008</t>
        </is>
      </c>
      <c r="B124" s="5" t="inlineStr">
        <is>
          <t>Electronics Item 008</t>
        </is>
      </c>
      <c r="C124" s="5" t="inlineStr">
        <is>
          <t>Electronics</t>
        </is>
      </c>
      <c r="D124" s="5" t="inlineStr">
        <is>
          <t>C</t>
        </is>
      </c>
      <c r="E124" s="5" t="inlineStr">
        <is>
          <t>S08</t>
        </is>
      </c>
      <c r="F124" s="25" t="n">
        <v>0</v>
      </c>
      <c r="G124" s="8" t="n">
        <v>0</v>
      </c>
      <c r="H124" s="25" t="n">
        <v>1</v>
      </c>
      <c r="I124" s="22" t="n">
        <v>62.62</v>
      </c>
      <c r="J124" s="29">
        <f>H124*I124</f>
        <v/>
      </c>
      <c r="K124" s="32" t="n">
        <v>3.832</v>
      </c>
      <c r="L124" s="28" t="n">
        <v>95.23999999999999</v>
      </c>
    </row>
    <row r="125">
      <c r="A125" s="5" t="inlineStr">
        <is>
          <t>P0129</t>
        </is>
      </c>
      <c r="B125" s="5" t="inlineStr">
        <is>
          <t>Health Item 129</t>
        </is>
      </c>
      <c r="C125" s="5" t="inlineStr">
        <is>
          <t>Health &amp; Safety</t>
        </is>
      </c>
      <c r="D125" s="5" t="inlineStr">
        <is>
          <t>C</t>
        </is>
      </c>
      <c r="E125" s="5" t="inlineStr">
        <is>
          <t>S05</t>
        </is>
      </c>
      <c r="F125" s="25" t="n">
        <v>5</v>
      </c>
      <c r="G125" s="8" t="n">
        <v>0.007</v>
      </c>
      <c r="H125" s="25" t="n">
        <v>7</v>
      </c>
      <c r="I125" s="22" t="n">
        <v>8.859999999999999</v>
      </c>
      <c r="J125" s="29">
        <f>H125*I125</f>
        <v/>
      </c>
      <c r="K125" s="32" t="n">
        <v>3.822</v>
      </c>
      <c r="L125" s="28" t="n">
        <v>95.497</v>
      </c>
    </row>
    <row r="126">
      <c r="A126" s="5" t="inlineStr">
        <is>
          <t>P0145</t>
        </is>
      </c>
      <c r="B126" s="5" t="inlineStr">
        <is>
          <t>Packaging Item 145</t>
        </is>
      </c>
      <c r="C126" s="5" t="inlineStr">
        <is>
          <t>Packaging</t>
        </is>
      </c>
      <c r="D126" s="5" t="inlineStr">
        <is>
          <t>C</t>
        </is>
      </c>
      <c r="E126" s="5" t="inlineStr">
        <is>
          <t>S01</t>
        </is>
      </c>
      <c r="F126" s="25" t="n">
        <v>9</v>
      </c>
      <c r="G126" s="8" t="n">
        <v>0.012</v>
      </c>
      <c r="H126" s="25" t="n">
        <v>12</v>
      </c>
      <c r="I126" s="22" t="n">
        <v>4.92</v>
      </c>
      <c r="J126" s="29">
        <f>H126*I126</f>
        <v/>
      </c>
      <c r="K126" s="32" t="n">
        <v>8.734999999999999</v>
      </c>
      <c r="L126" s="28" t="n">
        <v>41.785</v>
      </c>
    </row>
    <row r="127">
      <c r="A127" s="5" t="inlineStr">
        <is>
          <t>P0050</t>
        </is>
      </c>
      <c r="B127" s="5" t="inlineStr">
        <is>
          <t>Home Item 050</t>
        </is>
      </c>
      <c r="C127" s="5" t="inlineStr">
        <is>
          <t>Home &amp; Kitchen</t>
        </is>
      </c>
      <c r="D127" s="5" t="inlineStr">
        <is>
          <t>C</t>
        </is>
      </c>
      <c r="E127" s="5" t="inlineStr">
        <is>
          <t>S06</t>
        </is>
      </c>
      <c r="F127" s="25" t="n">
        <v>3</v>
      </c>
      <c r="G127" s="8" t="n">
        <v>0.004</v>
      </c>
      <c r="H127" s="25" t="n">
        <v>3</v>
      </c>
      <c r="I127" s="22" t="n">
        <v>18.89</v>
      </c>
      <c r="J127" s="29">
        <f>H127*I127</f>
        <v/>
      </c>
      <c r="K127" s="32" t="n">
        <v>6.458</v>
      </c>
      <c r="L127" s="28" t="n">
        <v>56.519</v>
      </c>
    </row>
    <row r="128">
      <c r="A128" s="5" t="inlineStr">
        <is>
          <t>P0122</t>
        </is>
      </c>
      <c r="B128" s="5" t="inlineStr">
        <is>
          <t>Health Item 122</t>
        </is>
      </c>
      <c r="C128" s="5" t="inlineStr">
        <is>
          <t>Health &amp; Safety</t>
        </is>
      </c>
      <c r="D128" s="5" t="inlineStr">
        <is>
          <t>C</t>
        </is>
      </c>
      <c r="E128" s="5" t="inlineStr">
        <is>
          <t>S09</t>
        </is>
      </c>
      <c r="F128" s="25" t="n">
        <v>9</v>
      </c>
      <c r="G128" s="8" t="n">
        <v>0.012</v>
      </c>
      <c r="H128" s="25" t="n">
        <v>3</v>
      </c>
      <c r="I128" s="22" t="n">
        <v>14.25</v>
      </c>
      <c r="J128" s="29">
        <f>H128*I128</f>
        <v/>
      </c>
      <c r="K128" s="32" t="n">
        <v>2.359</v>
      </c>
      <c r="L128" s="28" t="n">
        <v>154.718</v>
      </c>
    </row>
    <row r="129">
      <c r="A129" s="5" t="inlineStr">
        <is>
          <t>P0132</t>
        </is>
      </c>
      <c r="B129" s="5" t="inlineStr">
        <is>
          <t>Packaging Item 132</t>
        </is>
      </c>
      <c r="C129" s="5" t="inlineStr">
        <is>
          <t>Packaging</t>
        </is>
      </c>
      <c r="D129" s="5" t="inlineStr">
        <is>
          <t>C</t>
        </is>
      </c>
      <c r="E129" s="5" t="inlineStr">
        <is>
          <t>S06</t>
        </is>
      </c>
      <c r="F129" s="25" t="n">
        <v>7</v>
      </c>
      <c r="G129" s="8" t="n">
        <v>0.01</v>
      </c>
      <c r="H129" s="25" t="n">
        <v>9</v>
      </c>
      <c r="I129" s="22" t="n">
        <v>3.03</v>
      </c>
      <c r="J129" s="29">
        <f>H129*I129</f>
        <v/>
      </c>
      <c r="K129" s="32" t="n">
        <v>4.581</v>
      </c>
      <c r="L129" s="28" t="n">
        <v>79.67700000000001</v>
      </c>
    </row>
    <row r="130">
      <c r="A130" s="5" t="inlineStr">
        <is>
          <t>P0137</t>
        </is>
      </c>
      <c r="B130" s="5" t="inlineStr">
        <is>
          <t>Packaging Item 137</t>
        </is>
      </c>
      <c r="C130" s="5" t="inlineStr">
        <is>
          <t>Packaging</t>
        </is>
      </c>
      <c r="D130" s="5" t="inlineStr">
        <is>
          <t>C</t>
        </is>
      </c>
      <c r="E130" s="5" t="inlineStr">
        <is>
          <t>S09</t>
        </is>
      </c>
      <c r="F130" s="25" t="n">
        <v>0</v>
      </c>
      <c r="G130" s="8" t="n">
        <v>0</v>
      </c>
      <c r="H130" s="25" t="n">
        <v>2</v>
      </c>
      <c r="I130" s="22" t="n">
        <v>12.3</v>
      </c>
      <c r="J130" s="29">
        <f>H130*I130</f>
        <v/>
      </c>
      <c r="K130" s="32" t="n">
        <v>6.344</v>
      </c>
      <c r="L130" s="28" t="n">
        <v>57.536</v>
      </c>
    </row>
    <row r="131">
      <c r="A131" s="5" t="inlineStr">
        <is>
          <t>P0135</t>
        </is>
      </c>
      <c r="B131" s="5" t="inlineStr">
        <is>
          <t>Packaging Item 135</t>
        </is>
      </c>
      <c r="C131" s="5" t="inlineStr">
        <is>
          <t>Packaging</t>
        </is>
      </c>
      <c r="D131" s="5" t="inlineStr">
        <is>
          <t>C</t>
        </is>
      </c>
      <c r="E131" s="5" t="inlineStr">
        <is>
          <t>S10</t>
        </is>
      </c>
      <c r="F131" s="25" t="n">
        <v>16</v>
      </c>
      <c r="G131" s="8" t="n">
        <v>0.022</v>
      </c>
      <c r="H131" s="25" t="n">
        <v>3</v>
      </c>
      <c r="I131" s="22" t="n">
        <v>7.77</v>
      </c>
      <c r="J131" s="29">
        <f>H131*I131</f>
        <v/>
      </c>
      <c r="K131" s="32" t="n">
        <v>2.096</v>
      </c>
      <c r="L131" s="28" t="n">
        <v>174.182</v>
      </c>
    </row>
    <row r="132">
      <c r="A132" s="5" t="inlineStr">
        <is>
          <t>P0138</t>
        </is>
      </c>
      <c r="B132" s="5" t="inlineStr">
        <is>
          <t>Packaging Item 138</t>
        </is>
      </c>
      <c r="C132" s="5" t="inlineStr">
        <is>
          <t>Packaging</t>
        </is>
      </c>
      <c r="D132" s="5" t="inlineStr">
        <is>
          <t>C</t>
        </is>
      </c>
      <c r="E132" s="5" t="inlineStr">
        <is>
          <t>S03</t>
        </is>
      </c>
      <c r="F132" s="25" t="n">
        <v>1</v>
      </c>
      <c r="G132" s="8" t="n">
        <v>0.001</v>
      </c>
      <c r="H132" s="25" t="n">
        <v>2</v>
      </c>
      <c r="I132" s="22" t="n">
        <v>10.77</v>
      </c>
      <c r="J132" s="29">
        <f>H132*I132</f>
        <v/>
      </c>
      <c r="K132" s="32" t="n">
        <v>8.9</v>
      </c>
      <c r="L132" s="28" t="n">
        <v>41.011</v>
      </c>
    </row>
    <row r="133">
      <c r="A133" s="5" t="inlineStr">
        <is>
          <t>P0118</t>
        </is>
      </c>
      <c r="B133" s="5" t="inlineStr">
        <is>
          <t>Health Item 118</t>
        </is>
      </c>
      <c r="C133" s="5" t="inlineStr">
        <is>
          <t>Health &amp; Safety</t>
        </is>
      </c>
      <c r="D133" s="5" t="inlineStr">
        <is>
          <t>C</t>
        </is>
      </c>
      <c r="E133" s="5" t="inlineStr">
        <is>
          <t>S07</t>
        </is>
      </c>
      <c r="F133" s="25" t="n">
        <v>3</v>
      </c>
      <c r="G133" s="8" t="n">
        <v>0.004</v>
      </c>
      <c r="H133" s="25" t="n">
        <v>2</v>
      </c>
      <c r="I133" s="22" t="n">
        <v>9.960000000000001</v>
      </c>
      <c r="J133" s="29">
        <f>H133*I133</f>
        <v/>
      </c>
      <c r="K133" s="32" t="n">
        <v>3.944</v>
      </c>
      <c r="L133" s="28" t="n">
        <v>92.548</v>
      </c>
    </row>
    <row r="134">
      <c r="A134" s="5" t="inlineStr">
        <is>
          <t>P0143</t>
        </is>
      </c>
      <c r="B134" s="5" t="inlineStr">
        <is>
          <t>Packaging Item 143</t>
        </is>
      </c>
      <c r="C134" s="5" t="inlineStr">
        <is>
          <t>Packaging</t>
        </is>
      </c>
      <c r="D134" s="5" t="inlineStr">
        <is>
          <t>C</t>
        </is>
      </c>
      <c r="E134" s="5" t="inlineStr">
        <is>
          <t>S02</t>
        </is>
      </c>
      <c r="F134" s="25" t="n">
        <v>2</v>
      </c>
      <c r="G134" s="8" t="n">
        <v>0.003</v>
      </c>
      <c r="H134" s="25" t="n">
        <v>1</v>
      </c>
      <c r="I134" s="22" t="n">
        <v>8.68</v>
      </c>
      <c r="J134" s="29">
        <f>H134*I134</f>
        <v/>
      </c>
      <c r="K134" s="32" t="n">
        <v>9.242000000000001</v>
      </c>
      <c r="L134" s="28" t="n">
        <v>39.492</v>
      </c>
    </row>
    <row r="135">
      <c r="A135" s="5" t="inlineStr">
        <is>
          <t>P0104</t>
        </is>
      </c>
      <c r="B135" s="5" t="inlineStr">
        <is>
          <t>Office Item 104</t>
        </is>
      </c>
      <c r="C135" s="5" t="inlineStr">
        <is>
          <t>Office Supplies</t>
        </is>
      </c>
      <c r="D135" s="5" t="inlineStr">
        <is>
          <t>C</t>
        </is>
      </c>
      <c r="E135" s="5" t="inlineStr">
        <is>
          <t>S02</t>
        </is>
      </c>
      <c r="F135" s="25" t="n">
        <v>4</v>
      </c>
      <c r="G135" s="8" t="n">
        <v>0.005</v>
      </c>
      <c r="H135" s="25" t="n">
        <v>2</v>
      </c>
      <c r="I135" s="22" t="n">
        <v>3.9</v>
      </c>
      <c r="J135" s="29">
        <f>H135*I135</f>
        <v/>
      </c>
      <c r="K135" s="32" t="n">
        <v>7.659</v>
      </c>
      <c r="L135" s="28" t="n">
        <v>47.659</v>
      </c>
    </row>
    <row r="136">
      <c r="A136" s="5" t="inlineStr">
        <is>
          <t>P0147</t>
        </is>
      </c>
      <c r="B136" s="5" t="inlineStr">
        <is>
          <t>Packaging Item 147</t>
        </is>
      </c>
      <c r="C136" s="5" t="inlineStr">
        <is>
          <t>Packaging</t>
        </is>
      </c>
      <c r="D136" s="5" t="inlineStr">
        <is>
          <t>C</t>
        </is>
      </c>
      <c r="E136" s="5" t="inlineStr">
        <is>
          <t>S08</t>
        </is>
      </c>
      <c r="F136" s="25" t="n">
        <v>0</v>
      </c>
      <c r="G136" s="8" t="n">
        <v>0</v>
      </c>
      <c r="H136" s="25" t="n">
        <v>1</v>
      </c>
      <c r="I136" s="22" t="n">
        <v>4.47</v>
      </c>
      <c r="J136" s="29">
        <f>H136*I136</f>
        <v/>
      </c>
      <c r="K136" s="32" t="n">
        <v>18.177</v>
      </c>
      <c r="L136" s="28" t="n">
        <v>20.081</v>
      </c>
    </row>
    <row r="137">
      <c r="A137" s="5" t="inlineStr">
        <is>
          <t>P0083</t>
        </is>
      </c>
      <c r="B137" s="5" t="inlineStr">
        <is>
          <t>Office Item 083</t>
        </is>
      </c>
      <c r="C137" s="5" t="inlineStr">
        <is>
          <t>Office Supplies</t>
        </is>
      </c>
      <c r="D137" s="5" t="inlineStr">
        <is>
          <t>C</t>
        </is>
      </c>
      <c r="E137" s="5" t="inlineStr">
        <is>
          <t>S05</t>
        </is>
      </c>
      <c r="F137" s="25" t="n">
        <v>3</v>
      </c>
      <c r="G137" s="8" t="n">
        <v>0.004</v>
      </c>
      <c r="H137" s="25" t="n">
        <v>1</v>
      </c>
      <c r="I137" s="22" t="n">
        <v>4.07</v>
      </c>
      <c r="J137" s="29">
        <f>H137*I137</f>
        <v/>
      </c>
      <c r="K137" s="32" t="n">
        <v>4.008</v>
      </c>
      <c r="L137" s="28" t="n">
        <v>91.063</v>
      </c>
    </row>
    <row r="138">
      <c r="A138" s="5" t="inlineStr">
        <is>
          <t>P0011</t>
        </is>
      </c>
      <c r="B138" s="5" t="inlineStr">
        <is>
          <t>Electronics Item 011</t>
        </is>
      </c>
      <c r="C138" s="5" t="inlineStr">
        <is>
          <t>Electronics</t>
        </is>
      </c>
      <c r="D138" s="5" t="inlineStr">
        <is>
          <t>C</t>
        </is>
      </c>
      <c r="E138" s="5" t="inlineStr">
        <is>
          <t>S04</t>
        </is>
      </c>
      <c r="F138" s="25" t="n">
        <v>0</v>
      </c>
      <c r="G138" s="8" t="n">
        <v>0</v>
      </c>
      <c r="H138" s="25" t="n">
        <v>0</v>
      </c>
      <c r="I138" s="22" t="n">
        <v>61.88</v>
      </c>
      <c r="J138" s="29">
        <f>H138*I138</f>
        <v/>
      </c>
      <c r="K138" s="32" t="n">
        <v>2.02</v>
      </c>
      <c r="L138" s="28" t="n">
        <v>180.705</v>
      </c>
    </row>
    <row r="139">
      <c r="A139" s="5" t="inlineStr">
        <is>
          <t>P0061</t>
        </is>
      </c>
      <c r="B139" s="5" t="inlineStr">
        <is>
          <t>Outdoor Item 061</t>
        </is>
      </c>
      <c r="C139" s="5" t="inlineStr">
        <is>
          <t>Outdoor &amp; Garden</t>
        </is>
      </c>
      <c r="D139" s="5" t="inlineStr">
        <is>
          <t>B</t>
        </is>
      </c>
      <c r="E139" s="5" t="inlineStr">
        <is>
          <t>S01</t>
        </is>
      </c>
      <c r="F139" s="25" t="n">
        <v>1</v>
      </c>
      <c r="G139" s="8" t="n">
        <v>0.001</v>
      </c>
      <c r="H139" s="25" t="n">
        <v>0</v>
      </c>
      <c r="I139" s="22" t="n">
        <v>26.31</v>
      </c>
      <c r="J139" s="29">
        <f>H139*I139</f>
        <v/>
      </c>
      <c r="K139" s="32" t="n">
        <v>6.966</v>
      </c>
      <c r="L139" s="28" t="n">
        <v>52.4</v>
      </c>
    </row>
    <row r="140">
      <c r="A140" s="5" t="inlineStr">
        <is>
          <t>P0049</t>
        </is>
      </c>
      <c r="B140" s="5" t="inlineStr">
        <is>
          <t>Home Item 049</t>
        </is>
      </c>
      <c r="C140" s="5" t="inlineStr">
        <is>
          <t>Home &amp; Kitchen</t>
        </is>
      </c>
      <c r="D140" s="5" t="inlineStr">
        <is>
          <t>C</t>
        </is>
      </c>
      <c r="E140" s="5" t="inlineStr">
        <is>
          <t>S07</t>
        </is>
      </c>
      <c r="F140" s="25" t="n">
        <v>0</v>
      </c>
      <c r="G140" s="8" t="n">
        <v>0</v>
      </c>
      <c r="H140" s="25" t="n">
        <v>0</v>
      </c>
      <c r="I140" s="22" t="n">
        <v>21.99</v>
      </c>
      <c r="J140" s="29">
        <f>H140*I140</f>
        <v/>
      </c>
      <c r="K140" s="32" t="n">
        <v>6.947</v>
      </c>
      <c r="L140" s="28" t="n">
        <v>52.544</v>
      </c>
    </row>
    <row r="141">
      <c r="A141" s="5" t="inlineStr">
        <is>
          <t>P0029</t>
        </is>
      </c>
      <c r="B141" s="5" t="inlineStr">
        <is>
          <t>Home Item 029</t>
        </is>
      </c>
      <c r="C141" s="5" t="inlineStr">
        <is>
          <t>Home &amp; Kitchen</t>
        </is>
      </c>
      <c r="D141" s="5" t="inlineStr">
        <is>
          <t>C</t>
        </is>
      </c>
      <c r="E141" s="5" t="inlineStr">
        <is>
          <t>S05</t>
        </is>
      </c>
      <c r="F141" s="25" t="n">
        <v>0</v>
      </c>
      <c r="G141" s="8" t="n">
        <v>0</v>
      </c>
      <c r="H141" s="25" t="n">
        <v>0</v>
      </c>
      <c r="I141" s="22" t="n">
        <v>13.41</v>
      </c>
      <c r="J141" s="29">
        <f>H141*I141</f>
        <v/>
      </c>
      <c r="K141" s="32" t="n">
        <v>15.318</v>
      </c>
      <c r="L141" s="28" t="n">
        <v>23.827</v>
      </c>
    </row>
    <row r="142">
      <c r="A142" s="5" t="inlineStr">
        <is>
          <t>P0103</t>
        </is>
      </c>
      <c r="B142" s="5" t="inlineStr">
        <is>
          <t>Office Item 103</t>
        </is>
      </c>
      <c r="C142" s="5" t="inlineStr">
        <is>
          <t>Office Supplies</t>
        </is>
      </c>
      <c r="D142" s="5" t="inlineStr">
        <is>
          <t>C</t>
        </is>
      </c>
      <c r="E142" s="5" t="inlineStr">
        <is>
          <t>S08</t>
        </is>
      </c>
      <c r="F142" s="25" t="n">
        <v>0</v>
      </c>
      <c r="G142" s="8" t="n">
        <v>0</v>
      </c>
      <c r="H142" s="25" t="n">
        <v>0</v>
      </c>
      <c r="I142" s="22" t="n">
        <v>18.08</v>
      </c>
      <c r="J142" s="29">
        <f>H142*I142</f>
        <v/>
      </c>
      <c r="K142" s="32" t="n">
        <v>5.741</v>
      </c>
      <c r="L142" s="28" t="n">
        <v>63.583</v>
      </c>
    </row>
    <row r="143">
      <c r="A143" s="5" t="inlineStr">
        <is>
          <t>P0089</t>
        </is>
      </c>
      <c r="B143" s="5" t="inlineStr">
        <is>
          <t>Office Item 089</t>
        </is>
      </c>
      <c r="C143" s="5" t="inlineStr">
        <is>
          <t>Office Supplies</t>
        </is>
      </c>
      <c r="D143" s="5" t="inlineStr">
        <is>
          <t>C</t>
        </is>
      </c>
      <c r="E143" s="5" t="inlineStr">
        <is>
          <t>S04</t>
        </is>
      </c>
      <c r="F143" s="25" t="n">
        <v>0</v>
      </c>
      <c r="G143" s="8" t="n">
        <v>0</v>
      </c>
      <c r="H143" s="25" t="n">
        <v>0</v>
      </c>
      <c r="I143" s="22" t="n">
        <v>12.56</v>
      </c>
      <c r="J143" s="29">
        <f>H143*I143</f>
        <v/>
      </c>
      <c r="K143" s="32" t="n">
        <v>1.957</v>
      </c>
      <c r="L143" s="28" t="n">
        <v>186.542</v>
      </c>
    </row>
    <row r="144">
      <c r="A144" s="5" t="inlineStr">
        <is>
          <t>P0097</t>
        </is>
      </c>
      <c r="B144" s="5" t="inlineStr">
        <is>
          <t>Office Item 097</t>
        </is>
      </c>
      <c r="C144" s="5" t="inlineStr">
        <is>
          <t>Office Supplies</t>
        </is>
      </c>
      <c r="D144" s="5" t="inlineStr">
        <is>
          <t>C</t>
        </is>
      </c>
      <c r="E144" s="5" t="inlineStr">
        <is>
          <t>S10</t>
        </is>
      </c>
      <c r="F144" s="25" t="n">
        <v>0</v>
      </c>
      <c r="G144" s="8" t="n">
        <v>0</v>
      </c>
      <c r="H144" s="25" t="n">
        <v>0</v>
      </c>
      <c r="I144" s="22" t="n">
        <v>3.86</v>
      </c>
      <c r="J144" s="29">
        <f>H144*I144</f>
        <v/>
      </c>
      <c r="K144" s="32" t="n">
        <v>3.43</v>
      </c>
      <c r="L144" s="28" t="n">
        <v>106.402</v>
      </c>
    </row>
    <row r="145">
      <c r="A145" s="5" t="inlineStr">
        <is>
          <t>P0105</t>
        </is>
      </c>
      <c r="B145" s="5" t="inlineStr">
        <is>
          <t>Office Item 105</t>
        </is>
      </c>
      <c r="C145" s="5" t="inlineStr">
        <is>
          <t>Office Supplies</t>
        </is>
      </c>
      <c r="D145" s="5" t="inlineStr">
        <is>
          <t>C</t>
        </is>
      </c>
      <c r="E145" s="5" t="inlineStr">
        <is>
          <t>S08</t>
        </is>
      </c>
      <c r="F145" s="25" t="n">
        <v>0</v>
      </c>
      <c r="G145" s="8" t="n">
        <v>0</v>
      </c>
      <c r="H145" s="25" t="n">
        <v>0</v>
      </c>
      <c r="I145" s="22" t="n">
        <v>30.52</v>
      </c>
      <c r="J145" s="29">
        <f>H145*I145</f>
        <v/>
      </c>
      <c r="K145" s="32" t="n">
        <v>4.896</v>
      </c>
      <c r="L145" s="28" t="n">
        <v>74.556</v>
      </c>
    </row>
    <row r="146">
      <c r="A146" s="5" t="inlineStr">
        <is>
          <t>P0108</t>
        </is>
      </c>
      <c r="B146" s="5" t="inlineStr">
        <is>
          <t>Office Item 108</t>
        </is>
      </c>
      <c r="C146" s="5" t="inlineStr">
        <is>
          <t>Office Supplies</t>
        </is>
      </c>
      <c r="D146" s="5" t="inlineStr">
        <is>
          <t>C</t>
        </is>
      </c>
      <c r="E146" s="5" t="inlineStr">
        <is>
          <t>S10</t>
        </is>
      </c>
      <c r="F146" s="25" t="n">
        <v>0</v>
      </c>
      <c r="G146" s="8" t="n">
        <v>0</v>
      </c>
      <c r="H146" s="25" t="n">
        <v>0</v>
      </c>
      <c r="I146" s="22" t="n">
        <v>11.14</v>
      </c>
      <c r="J146" s="29">
        <f>H146*I146</f>
        <v/>
      </c>
      <c r="K146" s="32" t="n">
        <v>2.557</v>
      </c>
      <c r="L146" s="28" t="n">
        <v>142.76</v>
      </c>
    </row>
    <row r="147">
      <c r="A147" s="5" t="inlineStr">
        <is>
          <t>P0116</t>
        </is>
      </c>
      <c r="B147" s="5" t="inlineStr">
        <is>
          <t>Health Item 116</t>
        </is>
      </c>
      <c r="C147" s="5" t="inlineStr">
        <is>
          <t>Health &amp; Safety</t>
        </is>
      </c>
      <c r="D147" s="5" t="inlineStr">
        <is>
          <t>A</t>
        </is>
      </c>
      <c r="E147" s="5" t="inlineStr">
        <is>
          <t>S10</t>
        </is>
      </c>
      <c r="F147" s="25" t="n">
        <v>0</v>
      </c>
      <c r="G147" s="8" t="n">
        <v>0</v>
      </c>
      <c r="H147" s="25" t="n">
        <v>0</v>
      </c>
      <c r="I147" s="22" t="n">
        <v>67.18000000000001</v>
      </c>
      <c r="J147" s="29">
        <f>H147*I147</f>
        <v/>
      </c>
      <c r="K147" s="32" t="n">
        <v>7.423</v>
      </c>
      <c r="L147" s="28" t="n">
        <v>49.171</v>
      </c>
    </row>
    <row r="148">
      <c r="A148" s="5" t="inlineStr">
        <is>
          <t>P0134</t>
        </is>
      </c>
      <c r="B148" s="5" t="inlineStr">
        <is>
          <t>Packaging Item 134</t>
        </is>
      </c>
      <c r="C148" s="5" t="inlineStr">
        <is>
          <t>Packaging</t>
        </is>
      </c>
      <c r="D148" s="5" t="inlineStr">
        <is>
          <t>C</t>
        </is>
      </c>
      <c r="E148" s="5" t="inlineStr">
        <is>
          <t>S10</t>
        </is>
      </c>
      <c r="F148" s="25" t="n">
        <v>0</v>
      </c>
      <c r="G148" s="8" t="n">
        <v>0</v>
      </c>
      <c r="H148" s="25" t="n">
        <v>0</v>
      </c>
      <c r="I148" s="22" t="n">
        <v>3.06</v>
      </c>
      <c r="J148" s="29">
        <f>H148*I148</f>
        <v/>
      </c>
      <c r="K148" s="32" t="n">
        <v>4.506</v>
      </c>
      <c r="L148" s="28" t="n">
        <v>80.996</v>
      </c>
    </row>
    <row r="149">
      <c r="A149" s="5" t="inlineStr">
        <is>
          <t>P0121</t>
        </is>
      </c>
      <c r="B149" s="5" t="inlineStr">
        <is>
          <t>Health Item 121</t>
        </is>
      </c>
      <c r="C149" s="5" t="inlineStr">
        <is>
          <t>Health &amp; Safety</t>
        </is>
      </c>
      <c r="D149" s="5" t="inlineStr">
        <is>
          <t>C</t>
        </is>
      </c>
      <c r="E149" s="5" t="inlineStr">
        <is>
          <t>S10</t>
        </is>
      </c>
      <c r="F149" s="25" t="n">
        <v>0</v>
      </c>
      <c r="G149" s="8" t="n">
        <v>0</v>
      </c>
      <c r="H149" s="25" t="n">
        <v>0</v>
      </c>
      <c r="I149" s="22" t="n">
        <v>8.109999999999999</v>
      </c>
      <c r="J149" s="29">
        <f>H149*I149</f>
        <v/>
      </c>
      <c r="K149" s="32" t="n">
        <v>8.664999999999999</v>
      </c>
      <c r="L149" s="28" t="n">
        <v>42.122</v>
      </c>
    </row>
    <row r="150">
      <c r="A150" s="5" t="inlineStr">
        <is>
          <t>P0126</t>
        </is>
      </c>
      <c r="B150" s="5" t="inlineStr">
        <is>
          <t>Health Item 126</t>
        </is>
      </c>
      <c r="C150" s="5" t="inlineStr">
        <is>
          <t>Health &amp; Safety</t>
        </is>
      </c>
      <c r="D150" s="5" t="inlineStr">
        <is>
          <t>A</t>
        </is>
      </c>
      <c r="E150" s="5" t="inlineStr">
        <is>
          <t>S07</t>
        </is>
      </c>
      <c r="F150" s="25" t="n">
        <v>0</v>
      </c>
      <c r="G150" s="8" t="n">
        <v>0</v>
      </c>
      <c r="H150" s="25" t="n">
        <v>0</v>
      </c>
      <c r="I150" s="22" t="n">
        <v>62.77</v>
      </c>
      <c r="J150" s="29">
        <f>H150*I150</f>
        <v/>
      </c>
      <c r="K150" s="32" t="n">
        <v>7.164</v>
      </c>
      <c r="L150" s="28" t="n">
        <v>50.95</v>
      </c>
    </row>
    <row r="151">
      <c r="A151" s="5" t="inlineStr">
        <is>
          <t>P0120</t>
        </is>
      </c>
      <c r="B151" s="5" t="inlineStr">
        <is>
          <t>Health Item 120</t>
        </is>
      </c>
      <c r="C151" s="5" t="inlineStr">
        <is>
          <t>Health &amp; Safety</t>
        </is>
      </c>
      <c r="D151" s="5" t="inlineStr">
        <is>
          <t>C</t>
        </is>
      </c>
      <c r="E151" s="5" t="inlineStr">
        <is>
          <t>S02</t>
        </is>
      </c>
      <c r="F151" s="25" t="n">
        <v>1</v>
      </c>
      <c r="G151" s="8" t="n">
        <v>0.001</v>
      </c>
      <c r="H151" s="25" t="n">
        <v>0</v>
      </c>
      <c r="I151" s="22" t="n">
        <v>72.5</v>
      </c>
      <c r="J151" s="29">
        <f>H151*I151</f>
        <v/>
      </c>
      <c r="K151" s="32" t="n">
        <v>5.631</v>
      </c>
      <c r="L151" s="28" t="n">
        <v>64.816</v>
      </c>
    </row>
    <row r="152">
      <c r="A152" s="5" t="inlineStr">
        <is>
          <t>P0133</t>
        </is>
      </c>
      <c r="B152" s="5" t="inlineStr">
        <is>
          <t>Packaging Item 133</t>
        </is>
      </c>
      <c r="C152" s="5" t="inlineStr">
        <is>
          <t>Packaging</t>
        </is>
      </c>
      <c r="D152" s="5" t="inlineStr">
        <is>
          <t>C</t>
        </is>
      </c>
      <c r="E152" s="5" t="inlineStr">
        <is>
          <t>S05</t>
        </is>
      </c>
      <c r="F152" s="25" t="n">
        <v>0</v>
      </c>
      <c r="G152" s="8" t="n">
        <v>0</v>
      </c>
      <c r="H152" s="25" t="n">
        <v>0</v>
      </c>
      <c r="I152" s="22" t="n">
        <v>10.46</v>
      </c>
      <c r="J152" s="29">
        <f>H152*I152</f>
        <v/>
      </c>
      <c r="K152" s="32" t="n">
        <v>11.882</v>
      </c>
      <c r="L152" s="28" t="n">
        <v>30.718</v>
      </c>
    </row>
    <row r="153">
      <c r="A153" s="5" t="inlineStr">
        <is>
          <t>P0139</t>
        </is>
      </c>
      <c r="B153" s="5" t="inlineStr">
        <is>
          <t>Packaging Item 139</t>
        </is>
      </c>
      <c r="C153" s="5" t="inlineStr">
        <is>
          <t>Packaging</t>
        </is>
      </c>
      <c r="D153" s="5" t="inlineStr">
        <is>
          <t>C</t>
        </is>
      </c>
      <c r="E153" s="5" t="inlineStr">
        <is>
          <t>S01</t>
        </is>
      </c>
      <c r="F153" s="25" t="n">
        <v>2</v>
      </c>
      <c r="G153" s="8" t="n">
        <v>0.003</v>
      </c>
      <c r="H153" s="25" t="n">
        <v>0</v>
      </c>
      <c r="I153" s="22" t="n">
        <v>6.62</v>
      </c>
      <c r="J153" s="29">
        <f>H153*I153</f>
        <v/>
      </c>
      <c r="K153" s="32" t="n">
        <v>11.524</v>
      </c>
      <c r="L153" s="28" t="n">
        <v>31.673</v>
      </c>
    </row>
    <row r="154">
      <c r="A154" s="5" t="inlineStr">
        <is>
          <t>P0146</t>
        </is>
      </c>
      <c r="B154" s="5" t="inlineStr">
        <is>
          <t>Packaging Item 146</t>
        </is>
      </c>
      <c r="C154" s="5" t="inlineStr">
        <is>
          <t>Packaging</t>
        </is>
      </c>
      <c r="D154" s="5" t="inlineStr">
        <is>
          <t>C</t>
        </is>
      </c>
      <c r="E154" s="5" t="inlineStr">
        <is>
          <t>S02</t>
        </is>
      </c>
      <c r="F154" s="25" t="n">
        <v>3</v>
      </c>
      <c r="G154" s="8" t="n">
        <v>0.004</v>
      </c>
      <c r="H154" s="25" t="n">
        <v>0</v>
      </c>
      <c r="I154" s="22" t="n">
        <v>2.46</v>
      </c>
      <c r="J154" s="29">
        <f>H154*I154</f>
        <v/>
      </c>
      <c r="K154" s="32" t="n">
        <v>3.311</v>
      </c>
      <c r="L154" s="28" t="n">
        <v>110.224</v>
      </c>
    </row>
  </sheetData>
  <autoFilter ref="A4:L15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62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10" customWidth="1" min="17" max="17"/>
  </cols>
  <sheetData>
    <row r="1">
      <c r="A1" s="1" t="inlineStr">
        <is>
          <t>13-Week Demand Forecast (Q1 2026, units)</t>
        </is>
      </c>
    </row>
    <row r="2">
      <c r="A2" s="2" t="inlineStr">
        <is>
          <t>Model: Ensemble (SN + GBM). Forecasts unconstrained demand, not sales.</t>
        </is>
      </c>
    </row>
    <row r="4" ht="32" customHeight="1">
      <c r="A4" s="15" t="inlineStr">
        <is>
          <t>Product ID</t>
        </is>
      </c>
      <c r="B4" s="15" t="inlineStr">
        <is>
          <t>Product</t>
        </is>
      </c>
      <c r="C4" s="15" t="inlineStr">
        <is>
          <t>ABC</t>
        </is>
      </c>
      <c r="D4" s="15" t="inlineStr">
        <is>
          <t>Wk 01-04</t>
        </is>
      </c>
      <c r="E4" s="15" t="inlineStr">
        <is>
          <t>Wk 01-11</t>
        </is>
      </c>
      <c r="F4" s="15" t="inlineStr">
        <is>
          <t>Wk 01-18</t>
        </is>
      </c>
      <c r="G4" s="15" t="inlineStr">
        <is>
          <t>Wk 01-25</t>
        </is>
      </c>
      <c r="H4" s="15" t="inlineStr">
        <is>
          <t>Wk 02-01</t>
        </is>
      </c>
      <c r="I4" s="15" t="inlineStr">
        <is>
          <t>Wk 02-08</t>
        </is>
      </c>
      <c r="J4" s="15" t="inlineStr">
        <is>
          <t>Wk 02-15</t>
        </is>
      </c>
      <c r="K4" s="15" t="inlineStr">
        <is>
          <t>Wk 02-22</t>
        </is>
      </c>
      <c r="L4" s="15" t="inlineStr">
        <is>
          <t>Wk 03-01</t>
        </is>
      </c>
      <c r="M4" s="15" t="inlineStr">
        <is>
          <t>Wk 03-08</t>
        </is>
      </c>
      <c r="N4" s="15" t="inlineStr">
        <is>
          <t>Wk 03-15</t>
        </is>
      </c>
      <c r="O4" s="15" t="inlineStr">
        <is>
          <t>Wk 03-22</t>
        </is>
      </c>
      <c r="P4" s="15" t="inlineStr">
        <is>
          <t>Wk 03-29</t>
        </is>
      </c>
      <c r="Q4" s="15" t="inlineStr">
        <is>
          <t>Q1 total</t>
        </is>
      </c>
    </row>
    <row r="5">
      <c r="A5" s="5" t="inlineStr">
        <is>
          <t>P0001</t>
        </is>
      </c>
      <c r="B5" s="5" t="inlineStr">
        <is>
          <t>Electronics Item 001</t>
        </is>
      </c>
      <c r="C5" s="5" t="inlineStr">
        <is>
          <t>A</t>
        </is>
      </c>
      <c r="D5" s="25" t="n">
        <v>95.2</v>
      </c>
      <c r="E5" s="25" t="n">
        <v>96.8</v>
      </c>
      <c r="F5" s="25" t="n">
        <v>94</v>
      </c>
      <c r="G5" s="25" t="n">
        <v>94</v>
      </c>
      <c r="H5" s="25" t="n">
        <v>95.09999999999999</v>
      </c>
      <c r="I5" s="25" t="n">
        <v>77.90000000000001</v>
      </c>
      <c r="J5" s="25" t="n">
        <v>92</v>
      </c>
      <c r="K5" s="25" t="n">
        <v>90.40000000000001</v>
      </c>
      <c r="L5" s="25" t="n">
        <v>97.40000000000001</v>
      </c>
      <c r="M5" s="25" t="n">
        <v>96.2</v>
      </c>
      <c r="N5" s="25" t="n">
        <v>95.90000000000001</v>
      </c>
      <c r="O5" s="25" t="n">
        <v>108.3</v>
      </c>
      <c r="P5" s="25" t="n">
        <v>83.2</v>
      </c>
      <c r="Q5" s="33">
        <f>SUM(D5:P5)</f>
        <v/>
      </c>
    </row>
    <row r="6">
      <c r="A6" s="5" t="inlineStr">
        <is>
          <t>P0002</t>
        </is>
      </c>
      <c r="B6" s="5" t="inlineStr">
        <is>
          <t>Electronics Item 002</t>
        </is>
      </c>
      <c r="C6" s="5" t="inlineStr">
        <is>
          <t>A</t>
        </is>
      </c>
      <c r="D6" s="25" t="n">
        <v>41.3</v>
      </c>
      <c r="E6" s="25" t="n">
        <v>50.7</v>
      </c>
      <c r="F6" s="25" t="n">
        <v>45</v>
      </c>
      <c r="G6" s="25" t="n">
        <v>37.4</v>
      </c>
      <c r="H6" s="25" t="n">
        <v>42.7</v>
      </c>
      <c r="I6" s="25" t="n">
        <v>36.1</v>
      </c>
      <c r="J6" s="25" t="n">
        <v>44.7</v>
      </c>
      <c r="K6" s="25" t="n">
        <v>39.9</v>
      </c>
      <c r="L6" s="25" t="n">
        <v>44.6</v>
      </c>
      <c r="M6" s="25" t="n">
        <v>41.5</v>
      </c>
      <c r="N6" s="25" t="n">
        <v>50</v>
      </c>
      <c r="O6" s="25" t="n">
        <v>50.5</v>
      </c>
      <c r="P6" s="25" t="n">
        <v>40.5</v>
      </c>
      <c r="Q6" s="33">
        <f>SUM(D6:P6)</f>
        <v/>
      </c>
    </row>
    <row r="7">
      <c r="A7" s="5" t="inlineStr">
        <is>
          <t>P0003</t>
        </is>
      </c>
      <c r="B7" s="5" t="inlineStr">
        <is>
          <t>Electronics Item 003</t>
        </is>
      </c>
      <c r="C7" s="5" t="inlineStr">
        <is>
          <t>A</t>
        </is>
      </c>
      <c r="D7" s="25" t="n">
        <v>27.4</v>
      </c>
      <c r="E7" s="25" t="n">
        <v>26.4</v>
      </c>
      <c r="F7" s="25" t="n">
        <v>25</v>
      </c>
      <c r="G7" s="25" t="n">
        <v>20.7</v>
      </c>
      <c r="H7" s="25" t="n">
        <v>28.5</v>
      </c>
      <c r="I7" s="25" t="n">
        <v>27.3</v>
      </c>
      <c r="J7" s="25" t="n">
        <v>27.3</v>
      </c>
      <c r="K7" s="25" t="n">
        <v>23.2</v>
      </c>
      <c r="L7" s="25" t="n">
        <v>20</v>
      </c>
      <c r="M7" s="25" t="n">
        <v>23.7</v>
      </c>
      <c r="N7" s="25" t="n">
        <v>22.7</v>
      </c>
      <c r="O7" s="25" t="n">
        <v>24.8</v>
      </c>
      <c r="P7" s="25" t="n">
        <v>24.7</v>
      </c>
      <c r="Q7" s="33">
        <f>SUM(D7:P7)</f>
        <v/>
      </c>
    </row>
    <row r="8">
      <c r="A8" s="5" t="inlineStr">
        <is>
          <t>P0004</t>
        </is>
      </c>
      <c r="B8" s="5" t="inlineStr">
        <is>
          <t>Electronics Item 004</t>
        </is>
      </c>
      <c r="C8" s="5" t="inlineStr">
        <is>
          <t>A</t>
        </is>
      </c>
      <c r="D8" s="25" t="n">
        <v>10.7</v>
      </c>
      <c r="E8" s="25" t="n">
        <v>8.199999999999999</v>
      </c>
      <c r="F8" s="25" t="n">
        <v>9.1</v>
      </c>
      <c r="G8" s="25" t="n">
        <v>8.4</v>
      </c>
      <c r="H8" s="25" t="n">
        <v>9.699999999999999</v>
      </c>
      <c r="I8" s="25" t="n">
        <v>8</v>
      </c>
      <c r="J8" s="25" t="n">
        <v>9.800000000000001</v>
      </c>
      <c r="K8" s="25" t="n">
        <v>9.699999999999999</v>
      </c>
      <c r="L8" s="25" t="n">
        <v>13.8</v>
      </c>
      <c r="M8" s="25" t="n">
        <v>9.800000000000001</v>
      </c>
      <c r="N8" s="25" t="n">
        <v>10</v>
      </c>
      <c r="O8" s="25" t="n">
        <v>9.1</v>
      </c>
      <c r="P8" s="25" t="n">
        <v>9.800000000000001</v>
      </c>
      <c r="Q8" s="33">
        <f>SUM(D8:P8)</f>
        <v/>
      </c>
    </row>
    <row r="9">
      <c r="A9" s="5" t="inlineStr">
        <is>
          <t>P0005</t>
        </is>
      </c>
      <c r="B9" s="5" t="inlineStr">
        <is>
          <t>Electronics Item 005</t>
        </is>
      </c>
      <c r="C9" s="5" t="inlineStr">
        <is>
          <t>B</t>
        </is>
      </c>
      <c r="D9" s="25" t="n">
        <v>3.4</v>
      </c>
      <c r="E9" s="25" t="n">
        <v>4.6</v>
      </c>
      <c r="F9" s="25" t="n">
        <v>6.2</v>
      </c>
      <c r="G9" s="25" t="n">
        <v>2.7</v>
      </c>
      <c r="H9" s="25" t="n">
        <v>4.6</v>
      </c>
      <c r="I9" s="25" t="n">
        <v>4.6</v>
      </c>
      <c r="J9" s="25" t="n">
        <v>4.6</v>
      </c>
      <c r="K9" s="25" t="n">
        <v>6.7</v>
      </c>
      <c r="L9" s="25" t="n">
        <v>6.1</v>
      </c>
      <c r="M9" s="25" t="n">
        <v>6.3</v>
      </c>
      <c r="N9" s="25" t="n">
        <v>5.3</v>
      </c>
      <c r="O9" s="25" t="n">
        <v>1.9</v>
      </c>
      <c r="P9" s="25" t="n">
        <v>6.8</v>
      </c>
      <c r="Q9" s="33">
        <f>SUM(D9:P9)</f>
        <v/>
      </c>
    </row>
    <row r="10">
      <c r="A10" s="5" t="inlineStr">
        <is>
          <t>P0006</t>
        </is>
      </c>
      <c r="B10" s="5" t="inlineStr">
        <is>
          <t>Electronics Item 006</t>
        </is>
      </c>
      <c r="C10" s="5" t="inlineStr">
        <is>
          <t>A</t>
        </is>
      </c>
      <c r="D10" s="25" t="n">
        <v>44</v>
      </c>
      <c r="E10" s="25" t="n">
        <v>35.5</v>
      </c>
      <c r="F10" s="25" t="n">
        <v>36.9</v>
      </c>
      <c r="G10" s="25" t="n">
        <v>32</v>
      </c>
      <c r="H10" s="25" t="n">
        <v>32.9</v>
      </c>
      <c r="I10" s="25" t="n">
        <v>33</v>
      </c>
      <c r="J10" s="25" t="n">
        <v>39.4</v>
      </c>
      <c r="K10" s="25" t="n">
        <v>39.4</v>
      </c>
      <c r="L10" s="25" t="n">
        <v>36.1</v>
      </c>
      <c r="M10" s="25" t="n">
        <v>36.6</v>
      </c>
      <c r="N10" s="25" t="n">
        <v>36.4</v>
      </c>
      <c r="O10" s="25" t="n">
        <v>33.9</v>
      </c>
      <c r="P10" s="25" t="n">
        <v>36</v>
      </c>
      <c r="Q10" s="33">
        <f>SUM(D10:P10)</f>
        <v/>
      </c>
    </row>
    <row r="11">
      <c r="A11" s="5" t="inlineStr">
        <is>
          <t>P0007</t>
        </is>
      </c>
      <c r="B11" s="5" t="inlineStr">
        <is>
          <t>Electronics Item 007</t>
        </is>
      </c>
      <c r="C11" s="5" t="inlineStr">
        <is>
          <t>A</t>
        </is>
      </c>
      <c r="D11" s="25" t="n">
        <v>36.6</v>
      </c>
      <c r="E11" s="25" t="n">
        <v>33.8</v>
      </c>
      <c r="F11" s="25" t="n">
        <v>39.1</v>
      </c>
      <c r="G11" s="25" t="n">
        <v>34.9</v>
      </c>
      <c r="H11" s="25" t="n">
        <v>39.4</v>
      </c>
      <c r="I11" s="25" t="n">
        <v>41</v>
      </c>
      <c r="J11" s="25" t="n">
        <v>36.6</v>
      </c>
      <c r="K11" s="25" t="n">
        <v>39.3</v>
      </c>
      <c r="L11" s="25" t="n">
        <v>35.9</v>
      </c>
      <c r="M11" s="25" t="n">
        <v>30.6</v>
      </c>
      <c r="N11" s="25" t="n">
        <v>32</v>
      </c>
      <c r="O11" s="25" t="n">
        <v>41.1</v>
      </c>
      <c r="P11" s="25" t="n">
        <v>41.1</v>
      </c>
      <c r="Q11" s="33">
        <f>SUM(D11:P11)</f>
        <v/>
      </c>
    </row>
    <row r="12">
      <c r="A12" s="5" t="inlineStr">
        <is>
          <t>P0008</t>
        </is>
      </c>
      <c r="B12" s="5" t="inlineStr">
        <is>
          <t>Electronics Item 008</t>
        </is>
      </c>
      <c r="C12" s="5" t="inlineStr">
        <is>
          <t>C</t>
        </is>
      </c>
      <c r="D12" s="25" t="n">
        <v>4</v>
      </c>
      <c r="E12" s="25" t="n">
        <v>4.8</v>
      </c>
      <c r="F12" s="25" t="n">
        <v>3.1</v>
      </c>
      <c r="G12" s="25" t="n">
        <v>4.8</v>
      </c>
      <c r="H12" s="25" t="n">
        <v>4.8</v>
      </c>
      <c r="I12" s="25" t="n">
        <v>3.9</v>
      </c>
      <c r="J12" s="25" t="n">
        <v>3</v>
      </c>
      <c r="K12" s="25" t="n">
        <v>4.8</v>
      </c>
      <c r="L12" s="25" t="n">
        <v>5.5</v>
      </c>
      <c r="M12" s="25" t="n">
        <v>3.9</v>
      </c>
      <c r="N12" s="25" t="n">
        <v>6.8</v>
      </c>
      <c r="O12" s="25" t="n">
        <v>6.8</v>
      </c>
      <c r="P12" s="25" t="n">
        <v>1.9</v>
      </c>
      <c r="Q12" s="33">
        <f>SUM(D12:P12)</f>
        <v/>
      </c>
    </row>
    <row r="13">
      <c r="A13" s="5" t="inlineStr">
        <is>
          <t>P0009</t>
        </is>
      </c>
      <c r="B13" s="5" t="inlineStr">
        <is>
          <t>Electronics Item 009</t>
        </is>
      </c>
      <c r="C13" s="5" t="inlineStr">
        <is>
          <t>B</t>
        </is>
      </c>
      <c r="D13" s="25" t="n">
        <v>14.5</v>
      </c>
      <c r="E13" s="25" t="n">
        <v>13.1</v>
      </c>
      <c r="F13" s="25" t="n">
        <v>9.1</v>
      </c>
      <c r="G13" s="25" t="n">
        <v>10.2</v>
      </c>
      <c r="H13" s="25" t="n">
        <v>12.1</v>
      </c>
      <c r="I13" s="25" t="n">
        <v>12</v>
      </c>
      <c r="J13" s="25" t="n">
        <v>8.699999999999999</v>
      </c>
      <c r="K13" s="25" t="n">
        <v>8.699999999999999</v>
      </c>
      <c r="L13" s="25" t="n">
        <v>9.1</v>
      </c>
      <c r="M13" s="25" t="n">
        <v>13.4</v>
      </c>
      <c r="N13" s="25" t="n">
        <v>10.2</v>
      </c>
      <c r="O13" s="25" t="n">
        <v>12.4</v>
      </c>
      <c r="P13" s="25" t="n">
        <v>11.8</v>
      </c>
      <c r="Q13" s="33">
        <f>SUM(D13:P13)</f>
        <v/>
      </c>
    </row>
    <row r="14">
      <c r="A14" s="5" t="inlineStr">
        <is>
          <t>P0010</t>
        </is>
      </c>
      <c r="B14" s="5" t="inlineStr">
        <is>
          <t>Electronics Item 010</t>
        </is>
      </c>
      <c r="C14" s="5" t="inlineStr">
        <is>
          <t>B</t>
        </is>
      </c>
      <c r="D14" s="25" t="n">
        <v>12.8</v>
      </c>
      <c r="E14" s="25" t="n">
        <v>11.4</v>
      </c>
      <c r="F14" s="25" t="n">
        <v>14.7</v>
      </c>
      <c r="G14" s="25" t="n">
        <v>13.6</v>
      </c>
      <c r="H14" s="25" t="n">
        <v>11.5</v>
      </c>
      <c r="I14" s="25" t="n">
        <v>13.6</v>
      </c>
      <c r="J14" s="25" t="n">
        <v>14</v>
      </c>
      <c r="K14" s="25" t="n">
        <v>12.7</v>
      </c>
      <c r="L14" s="25" t="n">
        <v>13.5</v>
      </c>
      <c r="M14" s="25" t="n">
        <v>14.2</v>
      </c>
      <c r="N14" s="25" t="n">
        <v>20.4</v>
      </c>
      <c r="O14" s="25" t="n">
        <v>14</v>
      </c>
      <c r="P14" s="25" t="n">
        <v>14.2</v>
      </c>
      <c r="Q14" s="33">
        <f>SUM(D14:P14)</f>
        <v/>
      </c>
    </row>
    <row r="15">
      <c r="A15" s="5" t="inlineStr">
        <is>
          <t>P0011</t>
        </is>
      </c>
      <c r="B15" s="5" t="inlineStr">
        <is>
          <t>Electronics Item 011</t>
        </is>
      </c>
      <c r="C15" s="5" t="inlineStr">
        <is>
          <t>C</t>
        </is>
      </c>
      <c r="D15" s="25" t="n">
        <v>1.6</v>
      </c>
      <c r="E15" s="25" t="n">
        <v>1.4</v>
      </c>
      <c r="F15" s="25" t="n">
        <v>1.5</v>
      </c>
      <c r="G15" s="25" t="n">
        <v>1.2</v>
      </c>
      <c r="H15" s="25" t="n">
        <v>1.1</v>
      </c>
      <c r="I15" s="25" t="n">
        <v>2</v>
      </c>
      <c r="J15" s="25" t="n">
        <v>1.2</v>
      </c>
      <c r="K15" s="25" t="n">
        <v>1.2</v>
      </c>
      <c r="L15" s="25" t="n">
        <v>1.2</v>
      </c>
      <c r="M15" s="25" t="n">
        <v>1.5</v>
      </c>
      <c r="N15" s="25" t="n">
        <v>1.2</v>
      </c>
      <c r="O15" s="25" t="n">
        <v>1.1</v>
      </c>
      <c r="P15" s="25" t="n">
        <v>1.2</v>
      </c>
      <c r="Q15" s="33">
        <f>SUM(D15:P15)</f>
        <v/>
      </c>
    </row>
    <row r="16">
      <c r="A16" s="5" t="inlineStr">
        <is>
          <t>P0012</t>
        </is>
      </c>
      <c r="B16" s="5" t="inlineStr">
        <is>
          <t>Electronics Item 012</t>
        </is>
      </c>
      <c r="C16" s="5" t="inlineStr">
        <is>
          <t>A</t>
        </is>
      </c>
      <c r="D16" s="25" t="n">
        <v>38.7</v>
      </c>
      <c r="E16" s="25" t="n">
        <v>38.1</v>
      </c>
      <c r="F16" s="25" t="n">
        <v>54.8</v>
      </c>
      <c r="G16" s="25" t="n">
        <v>43.3</v>
      </c>
      <c r="H16" s="25" t="n">
        <v>40.3</v>
      </c>
      <c r="I16" s="25" t="n">
        <v>51.6</v>
      </c>
      <c r="J16" s="25" t="n">
        <v>41.4</v>
      </c>
      <c r="K16" s="25" t="n">
        <v>36.4</v>
      </c>
      <c r="L16" s="25" t="n">
        <v>43</v>
      </c>
      <c r="M16" s="25" t="n">
        <v>43.2</v>
      </c>
      <c r="N16" s="25" t="n">
        <v>31.4</v>
      </c>
      <c r="O16" s="25" t="n">
        <v>44.2</v>
      </c>
      <c r="P16" s="25" t="n">
        <v>42</v>
      </c>
      <c r="Q16" s="33">
        <f>SUM(D16:P16)</f>
        <v/>
      </c>
    </row>
    <row r="17">
      <c r="A17" s="5" t="inlineStr">
        <is>
          <t>P0013</t>
        </is>
      </c>
      <c r="B17" s="5" t="inlineStr">
        <is>
          <t>Electronics Item 013</t>
        </is>
      </c>
      <c r="C17" s="5" t="inlineStr">
        <is>
          <t>A</t>
        </is>
      </c>
      <c r="D17" s="25" t="n">
        <v>32.1</v>
      </c>
      <c r="E17" s="25" t="n">
        <v>39.1</v>
      </c>
      <c r="F17" s="25" t="n">
        <v>29.6</v>
      </c>
      <c r="G17" s="25" t="n">
        <v>30.9</v>
      </c>
      <c r="H17" s="25" t="n">
        <v>31.5</v>
      </c>
      <c r="I17" s="25" t="n">
        <v>26</v>
      </c>
      <c r="J17" s="25" t="n">
        <v>31.5</v>
      </c>
      <c r="K17" s="25" t="n">
        <v>35.9</v>
      </c>
      <c r="L17" s="25" t="n">
        <v>32.7</v>
      </c>
      <c r="M17" s="25" t="n">
        <v>32.2</v>
      </c>
      <c r="N17" s="25" t="n">
        <v>37.5</v>
      </c>
      <c r="O17" s="25" t="n">
        <v>31.1</v>
      </c>
      <c r="P17" s="25" t="n">
        <v>33.3</v>
      </c>
      <c r="Q17" s="33">
        <f>SUM(D17:P17)</f>
        <v/>
      </c>
    </row>
    <row r="18">
      <c r="A18" s="5" t="inlineStr">
        <is>
          <t>P0014</t>
        </is>
      </c>
      <c r="B18" s="5" t="inlineStr">
        <is>
          <t>Electronics Item 014</t>
        </is>
      </c>
      <c r="C18" s="5" t="inlineStr">
        <is>
          <t>B</t>
        </is>
      </c>
      <c r="D18" s="25" t="n">
        <v>7</v>
      </c>
      <c r="E18" s="25" t="n">
        <v>10.7</v>
      </c>
      <c r="F18" s="25" t="n">
        <v>8.5</v>
      </c>
      <c r="G18" s="25" t="n">
        <v>8.699999999999999</v>
      </c>
      <c r="H18" s="25" t="n">
        <v>10.3</v>
      </c>
      <c r="I18" s="25" t="n">
        <v>8.800000000000001</v>
      </c>
      <c r="J18" s="25" t="n">
        <v>10.7</v>
      </c>
      <c r="K18" s="25" t="n">
        <v>8.800000000000001</v>
      </c>
      <c r="L18" s="25" t="n">
        <v>9.5</v>
      </c>
      <c r="M18" s="25" t="n">
        <v>8.5</v>
      </c>
      <c r="N18" s="25" t="n">
        <v>10.2</v>
      </c>
      <c r="O18" s="25" t="n">
        <v>11.5</v>
      </c>
      <c r="P18" s="25" t="n">
        <v>10.1</v>
      </c>
      <c r="Q18" s="33">
        <f>SUM(D18:P18)</f>
        <v/>
      </c>
    </row>
    <row r="19">
      <c r="A19" s="5" t="inlineStr">
        <is>
          <t>P0015</t>
        </is>
      </c>
      <c r="B19" s="5" t="inlineStr">
        <is>
          <t>Electronics Item 015</t>
        </is>
      </c>
      <c r="C19" s="5" t="inlineStr">
        <is>
          <t>C</t>
        </is>
      </c>
      <c r="D19" s="25" t="n">
        <v>6.2</v>
      </c>
      <c r="E19" s="25" t="n">
        <v>2.4</v>
      </c>
      <c r="F19" s="25" t="n">
        <v>4.9</v>
      </c>
      <c r="G19" s="25" t="n">
        <v>4.5</v>
      </c>
      <c r="H19" s="25" t="n">
        <v>3.3</v>
      </c>
      <c r="I19" s="25" t="n">
        <v>4.5</v>
      </c>
      <c r="J19" s="25" t="n">
        <v>4</v>
      </c>
      <c r="K19" s="25" t="n">
        <v>4</v>
      </c>
      <c r="L19" s="25" t="n">
        <v>3.3</v>
      </c>
      <c r="M19" s="25" t="n">
        <v>4.4</v>
      </c>
      <c r="N19" s="25" t="n">
        <v>4</v>
      </c>
      <c r="O19" s="25" t="n">
        <v>2.6</v>
      </c>
      <c r="P19" s="25" t="n">
        <v>3.9</v>
      </c>
      <c r="Q19" s="33">
        <f>SUM(D19:P19)</f>
        <v/>
      </c>
    </row>
    <row r="20">
      <c r="A20" s="5" t="inlineStr">
        <is>
          <t>P0016</t>
        </is>
      </c>
      <c r="B20" s="5" t="inlineStr">
        <is>
          <t>Electronics Item 016</t>
        </is>
      </c>
      <c r="C20" s="5" t="inlineStr">
        <is>
          <t>A</t>
        </is>
      </c>
      <c r="D20" s="25" t="n">
        <v>16.9</v>
      </c>
      <c r="E20" s="25" t="n">
        <v>11.1</v>
      </c>
      <c r="F20" s="25" t="n">
        <v>14.1</v>
      </c>
      <c r="G20" s="25" t="n">
        <v>12.4</v>
      </c>
      <c r="H20" s="25" t="n">
        <v>14.1</v>
      </c>
      <c r="I20" s="25" t="n">
        <v>14.8</v>
      </c>
      <c r="J20" s="25" t="n">
        <v>10.7</v>
      </c>
      <c r="K20" s="25" t="n">
        <v>13.9</v>
      </c>
      <c r="L20" s="25" t="n">
        <v>13.3</v>
      </c>
      <c r="M20" s="25" t="n">
        <v>14.3</v>
      </c>
      <c r="N20" s="25" t="n">
        <v>15</v>
      </c>
      <c r="O20" s="25" t="n">
        <v>15.3</v>
      </c>
      <c r="P20" s="25" t="n">
        <v>12.7</v>
      </c>
      <c r="Q20" s="33">
        <f>SUM(D20:P20)</f>
        <v/>
      </c>
    </row>
    <row r="21">
      <c r="A21" s="5" t="inlineStr">
        <is>
          <t>P0017</t>
        </is>
      </c>
      <c r="B21" s="5" t="inlineStr">
        <is>
          <t>Electronics Item 017</t>
        </is>
      </c>
      <c r="C21" s="5" t="inlineStr">
        <is>
          <t>B</t>
        </is>
      </c>
      <c r="D21" s="25" t="n">
        <v>9.800000000000001</v>
      </c>
      <c r="E21" s="25" t="n">
        <v>11.5</v>
      </c>
      <c r="F21" s="25" t="n">
        <v>10.2</v>
      </c>
      <c r="G21" s="25" t="n">
        <v>12.7</v>
      </c>
      <c r="H21" s="25" t="n">
        <v>9.699999999999999</v>
      </c>
      <c r="I21" s="25" t="n">
        <v>8.9</v>
      </c>
      <c r="J21" s="25" t="n">
        <v>5.8</v>
      </c>
      <c r="K21" s="25" t="n">
        <v>4.2</v>
      </c>
      <c r="L21" s="25" t="n">
        <v>7.2</v>
      </c>
      <c r="M21" s="25" t="n">
        <v>9.300000000000001</v>
      </c>
      <c r="N21" s="25" t="n">
        <v>10</v>
      </c>
      <c r="O21" s="25" t="n">
        <v>10.1</v>
      </c>
      <c r="P21" s="25" t="n">
        <v>12.5</v>
      </c>
      <c r="Q21" s="33">
        <f>SUM(D21:P21)</f>
        <v/>
      </c>
    </row>
    <row r="22">
      <c r="A22" s="5" t="inlineStr">
        <is>
          <t>P0018</t>
        </is>
      </c>
      <c r="B22" s="5" t="inlineStr">
        <is>
          <t>Electronics Item 018</t>
        </is>
      </c>
      <c r="C22" s="5" t="inlineStr">
        <is>
          <t>A</t>
        </is>
      </c>
      <c r="D22" s="25" t="n">
        <v>50.5</v>
      </c>
      <c r="E22" s="25" t="n">
        <v>41.7</v>
      </c>
      <c r="F22" s="25" t="n">
        <v>49.2</v>
      </c>
      <c r="G22" s="25" t="n">
        <v>40.3</v>
      </c>
      <c r="H22" s="25" t="n">
        <v>45.6</v>
      </c>
      <c r="I22" s="25" t="n">
        <v>45.6</v>
      </c>
      <c r="J22" s="25" t="n">
        <v>46.3</v>
      </c>
      <c r="K22" s="25" t="n">
        <v>49</v>
      </c>
      <c r="L22" s="25" t="n">
        <v>37.9</v>
      </c>
      <c r="M22" s="25" t="n">
        <v>44.3</v>
      </c>
      <c r="N22" s="25" t="n">
        <v>46.6</v>
      </c>
      <c r="O22" s="25" t="n">
        <v>45.6</v>
      </c>
      <c r="P22" s="25" t="n">
        <v>49.5</v>
      </c>
      <c r="Q22" s="33">
        <f>SUM(D22:P22)</f>
        <v/>
      </c>
    </row>
    <row r="23">
      <c r="A23" s="5" t="inlineStr">
        <is>
          <t>P0019</t>
        </is>
      </c>
      <c r="B23" s="5" t="inlineStr">
        <is>
          <t>Electronics Item 019</t>
        </is>
      </c>
      <c r="C23" s="5" t="inlineStr">
        <is>
          <t>A</t>
        </is>
      </c>
      <c r="D23" s="25" t="n">
        <v>61.1</v>
      </c>
      <c r="E23" s="25" t="n">
        <v>53</v>
      </c>
      <c r="F23" s="25" t="n">
        <v>51.9</v>
      </c>
      <c r="G23" s="25" t="n">
        <v>52.9</v>
      </c>
      <c r="H23" s="25" t="n">
        <v>52.7</v>
      </c>
      <c r="I23" s="25" t="n">
        <v>55.5</v>
      </c>
      <c r="J23" s="25" t="n">
        <v>55.5</v>
      </c>
      <c r="K23" s="25" t="n">
        <v>43.5</v>
      </c>
      <c r="L23" s="25" t="n">
        <v>43.3</v>
      </c>
      <c r="M23" s="25" t="n">
        <v>53.1</v>
      </c>
      <c r="N23" s="25" t="n">
        <v>60.6</v>
      </c>
      <c r="O23" s="25" t="n">
        <v>54.8</v>
      </c>
      <c r="P23" s="25" t="n">
        <v>48.7</v>
      </c>
      <c r="Q23" s="33">
        <f>SUM(D23:P23)</f>
        <v/>
      </c>
    </row>
    <row r="24">
      <c r="A24" s="5" t="inlineStr">
        <is>
          <t>P0020</t>
        </is>
      </c>
      <c r="B24" s="5" t="inlineStr">
        <is>
          <t>Electronics Item 020</t>
        </is>
      </c>
      <c r="C24" s="5" t="inlineStr">
        <is>
          <t>A</t>
        </is>
      </c>
      <c r="D24" s="25" t="n">
        <v>57.1</v>
      </c>
      <c r="E24" s="25" t="n">
        <v>61.1</v>
      </c>
      <c r="F24" s="25" t="n">
        <v>59.8</v>
      </c>
      <c r="G24" s="25" t="n">
        <v>53.6</v>
      </c>
      <c r="H24" s="25" t="n">
        <v>62.5</v>
      </c>
      <c r="I24" s="25" t="n">
        <v>48.3</v>
      </c>
      <c r="J24" s="25" t="n">
        <v>62.5</v>
      </c>
      <c r="K24" s="25" t="n">
        <v>66.40000000000001</v>
      </c>
      <c r="L24" s="25" t="n">
        <v>67.8</v>
      </c>
      <c r="M24" s="25" t="n">
        <v>62.4</v>
      </c>
      <c r="N24" s="25" t="n">
        <v>63.8</v>
      </c>
      <c r="O24" s="25" t="n">
        <v>63.5</v>
      </c>
      <c r="P24" s="25" t="n">
        <v>72.09999999999999</v>
      </c>
      <c r="Q24" s="33">
        <f>SUM(D24:P24)</f>
        <v/>
      </c>
    </row>
    <row r="25">
      <c r="A25" s="5" t="inlineStr">
        <is>
          <t>P0021</t>
        </is>
      </c>
      <c r="B25" s="5" t="inlineStr">
        <is>
          <t>Electronics Item 021</t>
        </is>
      </c>
      <c r="C25" s="5" t="inlineStr">
        <is>
          <t>A</t>
        </is>
      </c>
      <c r="D25" s="25" t="n">
        <v>13.4</v>
      </c>
      <c r="E25" s="25" t="n">
        <v>12.6</v>
      </c>
      <c r="F25" s="25" t="n">
        <v>10.8</v>
      </c>
      <c r="G25" s="25" t="n">
        <v>11.1</v>
      </c>
      <c r="H25" s="25" t="n">
        <v>10.7</v>
      </c>
      <c r="I25" s="25" t="n">
        <v>12.3</v>
      </c>
      <c r="J25" s="25" t="n">
        <v>10.6</v>
      </c>
      <c r="K25" s="25" t="n">
        <v>11.2</v>
      </c>
      <c r="L25" s="25" t="n">
        <v>10</v>
      </c>
      <c r="M25" s="25" t="n">
        <v>9.800000000000001</v>
      </c>
      <c r="N25" s="25" t="n">
        <v>10.1</v>
      </c>
      <c r="O25" s="25" t="n">
        <v>11.2</v>
      </c>
      <c r="P25" s="25" t="n">
        <v>7.2</v>
      </c>
      <c r="Q25" s="33">
        <f>SUM(D25:P25)</f>
        <v/>
      </c>
    </row>
    <row r="26">
      <c r="A26" s="5" t="inlineStr">
        <is>
          <t>P0022</t>
        </is>
      </c>
      <c r="B26" s="5" t="inlineStr">
        <is>
          <t>Electronics Item 022</t>
        </is>
      </c>
      <c r="C26" s="5" t="inlineStr">
        <is>
          <t>A</t>
        </is>
      </c>
      <c r="D26" s="25" t="n">
        <v>125</v>
      </c>
      <c r="E26" s="25" t="n">
        <v>101.2</v>
      </c>
      <c r="F26" s="25" t="n">
        <v>121.1</v>
      </c>
      <c r="G26" s="25" t="n">
        <v>111.9</v>
      </c>
      <c r="H26" s="25" t="n">
        <v>107.1</v>
      </c>
      <c r="I26" s="25" t="n">
        <v>106.8</v>
      </c>
      <c r="J26" s="25" t="n">
        <v>115.8</v>
      </c>
      <c r="K26" s="25" t="n">
        <v>91.90000000000001</v>
      </c>
      <c r="L26" s="25" t="n">
        <v>111</v>
      </c>
      <c r="M26" s="25" t="n">
        <v>112.1</v>
      </c>
      <c r="N26" s="25" t="n">
        <v>109.1</v>
      </c>
      <c r="O26" s="25" t="n">
        <v>119</v>
      </c>
      <c r="P26" s="25" t="n">
        <v>119</v>
      </c>
      <c r="Q26" s="33">
        <f>SUM(D26:P26)</f>
        <v/>
      </c>
    </row>
    <row r="27">
      <c r="A27" s="5" t="inlineStr">
        <is>
          <t>P0023</t>
        </is>
      </c>
      <c r="B27" s="5" t="inlineStr">
        <is>
          <t>Electronics Item 023</t>
        </is>
      </c>
      <c r="C27" s="5" t="inlineStr">
        <is>
          <t>A</t>
        </is>
      </c>
      <c r="D27" s="25" t="n">
        <v>20.8</v>
      </c>
      <c r="E27" s="25" t="n">
        <v>19.2</v>
      </c>
      <c r="F27" s="25" t="n">
        <v>20.8</v>
      </c>
      <c r="G27" s="25" t="n">
        <v>25.4</v>
      </c>
      <c r="H27" s="25" t="n">
        <v>24</v>
      </c>
      <c r="I27" s="25" t="n">
        <v>23.9</v>
      </c>
      <c r="J27" s="25" t="n">
        <v>23.3</v>
      </c>
      <c r="K27" s="25" t="n">
        <v>20.3</v>
      </c>
      <c r="L27" s="25" t="n">
        <v>21.7</v>
      </c>
      <c r="M27" s="25" t="n">
        <v>22.4</v>
      </c>
      <c r="N27" s="25" t="n">
        <v>25.1</v>
      </c>
      <c r="O27" s="25" t="n">
        <v>25.2</v>
      </c>
      <c r="P27" s="25" t="n">
        <v>21.8</v>
      </c>
      <c r="Q27" s="33">
        <f>SUM(D27:P27)</f>
        <v/>
      </c>
    </row>
    <row r="28">
      <c r="A28" s="5" t="inlineStr">
        <is>
          <t>P0024</t>
        </is>
      </c>
      <c r="B28" s="5" t="inlineStr">
        <is>
          <t>Electronics Item 024</t>
        </is>
      </c>
      <c r="C28" s="5" t="inlineStr">
        <is>
          <t>B</t>
        </is>
      </c>
      <c r="D28" s="25" t="n">
        <v>5.4</v>
      </c>
      <c r="E28" s="25" t="n">
        <v>7.4</v>
      </c>
      <c r="F28" s="25" t="n">
        <v>3.7</v>
      </c>
      <c r="G28" s="25" t="n">
        <v>6.5</v>
      </c>
      <c r="H28" s="25" t="n">
        <v>5.9</v>
      </c>
      <c r="I28" s="25" t="n">
        <v>4.4</v>
      </c>
      <c r="J28" s="25" t="n">
        <v>5.3</v>
      </c>
      <c r="K28" s="25" t="n">
        <v>6.6</v>
      </c>
      <c r="L28" s="25" t="n">
        <v>5.3</v>
      </c>
      <c r="M28" s="25" t="n">
        <v>5.4</v>
      </c>
      <c r="N28" s="25" t="n">
        <v>4.9</v>
      </c>
      <c r="O28" s="25" t="n">
        <v>5.4</v>
      </c>
      <c r="P28" s="25" t="n">
        <v>5.8</v>
      </c>
      <c r="Q28" s="33">
        <f>SUM(D28:P28)</f>
        <v/>
      </c>
    </row>
    <row r="29">
      <c r="A29" s="5" t="inlineStr">
        <is>
          <t>P0025</t>
        </is>
      </c>
      <c r="B29" s="5" t="inlineStr">
        <is>
          <t>Electronics Item 025</t>
        </is>
      </c>
      <c r="C29" s="5" t="inlineStr">
        <is>
          <t>A</t>
        </is>
      </c>
      <c r="D29" s="25" t="n">
        <v>53.5</v>
      </c>
      <c r="E29" s="25" t="n">
        <v>45.3</v>
      </c>
      <c r="F29" s="25" t="n">
        <v>52.4</v>
      </c>
      <c r="G29" s="25" t="n">
        <v>48.5</v>
      </c>
      <c r="H29" s="25" t="n">
        <v>42.9</v>
      </c>
      <c r="I29" s="25" t="n">
        <v>46.3</v>
      </c>
      <c r="J29" s="25" t="n">
        <v>55.2</v>
      </c>
      <c r="K29" s="25" t="n">
        <v>53.7</v>
      </c>
      <c r="L29" s="25" t="n">
        <v>51.8</v>
      </c>
      <c r="M29" s="25" t="n">
        <v>52.3</v>
      </c>
      <c r="N29" s="25" t="n">
        <v>53.2</v>
      </c>
      <c r="O29" s="25" t="n">
        <v>50</v>
      </c>
      <c r="P29" s="25" t="n">
        <v>42.4</v>
      </c>
      <c r="Q29" s="33">
        <f>SUM(D29:P29)</f>
        <v/>
      </c>
    </row>
    <row r="30">
      <c r="A30" s="5" t="inlineStr">
        <is>
          <t>P0026</t>
        </is>
      </c>
      <c r="B30" s="5" t="inlineStr">
        <is>
          <t>Home Item 026</t>
        </is>
      </c>
      <c r="C30" s="5" t="inlineStr">
        <is>
          <t>C</t>
        </is>
      </c>
      <c r="D30" s="25" t="n">
        <v>6.5</v>
      </c>
      <c r="E30" s="25" t="n">
        <v>7.3</v>
      </c>
      <c r="F30" s="25" t="n">
        <v>5.6</v>
      </c>
      <c r="G30" s="25" t="n">
        <v>5.6</v>
      </c>
      <c r="H30" s="25" t="n">
        <v>7.3</v>
      </c>
      <c r="I30" s="25" t="n">
        <v>7.7</v>
      </c>
      <c r="J30" s="25" t="n">
        <v>5.9</v>
      </c>
      <c r="K30" s="25" t="n">
        <v>7.7</v>
      </c>
      <c r="L30" s="25" t="n">
        <v>5.9</v>
      </c>
      <c r="M30" s="25" t="n">
        <v>6.6</v>
      </c>
      <c r="N30" s="25" t="n">
        <v>5.7</v>
      </c>
      <c r="O30" s="25" t="n">
        <v>7.3</v>
      </c>
      <c r="P30" s="25" t="n">
        <v>4.5</v>
      </c>
      <c r="Q30" s="33">
        <f>SUM(D30:P30)</f>
        <v/>
      </c>
    </row>
    <row r="31">
      <c r="A31" s="5" t="inlineStr">
        <is>
          <t>P0027</t>
        </is>
      </c>
      <c r="B31" s="5" t="inlineStr">
        <is>
          <t>Home Item 027</t>
        </is>
      </c>
      <c r="C31" s="5" t="inlineStr">
        <is>
          <t>B</t>
        </is>
      </c>
      <c r="D31" s="25" t="n">
        <v>10.4</v>
      </c>
      <c r="E31" s="25" t="n">
        <v>8.699999999999999</v>
      </c>
      <c r="F31" s="25" t="n">
        <v>8.300000000000001</v>
      </c>
      <c r="G31" s="25" t="n">
        <v>8.6</v>
      </c>
      <c r="H31" s="25" t="n">
        <v>9.1</v>
      </c>
      <c r="I31" s="25" t="n">
        <v>8.4</v>
      </c>
      <c r="J31" s="25" t="n">
        <v>8.4</v>
      </c>
      <c r="K31" s="25" t="n">
        <v>9</v>
      </c>
      <c r="L31" s="25" t="n">
        <v>10.3</v>
      </c>
      <c r="M31" s="25" t="n">
        <v>7.4</v>
      </c>
      <c r="N31" s="25" t="n">
        <v>9.5</v>
      </c>
      <c r="O31" s="25" t="n">
        <v>9.699999999999999</v>
      </c>
      <c r="P31" s="25" t="n">
        <v>9.6</v>
      </c>
      <c r="Q31" s="33">
        <f>SUM(D31:P31)</f>
        <v/>
      </c>
    </row>
    <row r="32">
      <c r="A32" s="5" t="inlineStr">
        <is>
          <t>P0028</t>
        </is>
      </c>
      <c r="B32" s="5" t="inlineStr">
        <is>
          <t>Home Item 028</t>
        </is>
      </c>
      <c r="C32" s="5" t="inlineStr">
        <is>
          <t>C</t>
        </is>
      </c>
      <c r="D32" s="25" t="n">
        <v>8.800000000000001</v>
      </c>
      <c r="E32" s="25" t="n">
        <v>7.1</v>
      </c>
      <c r="F32" s="25" t="n">
        <v>7.7</v>
      </c>
      <c r="G32" s="25" t="n">
        <v>7.7</v>
      </c>
      <c r="H32" s="25" t="n">
        <v>12.9</v>
      </c>
      <c r="I32" s="25" t="n">
        <v>7.2</v>
      </c>
      <c r="J32" s="25" t="n">
        <v>7.8</v>
      </c>
      <c r="K32" s="25" t="n">
        <v>7.8</v>
      </c>
      <c r="L32" s="25" t="n">
        <v>11.8</v>
      </c>
      <c r="M32" s="25" t="n">
        <v>9.5</v>
      </c>
      <c r="N32" s="25" t="n">
        <v>9.5</v>
      </c>
      <c r="O32" s="25" t="n">
        <v>10.4</v>
      </c>
      <c r="P32" s="25" t="n">
        <v>12.1</v>
      </c>
      <c r="Q32" s="33">
        <f>SUM(D32:P32)</f>
        <v/>
      </c>
    </row>
    <row r="33">
      <c r="A33" s="5" t="inlineStr">
        <is>
          <t>P0029</t>
        </is>
      </c>
      <c r="B33" s="5" t="inlineStr">
        <is>
          <t>Home Item 029</t>
        </is>
      </c>
      <c r="C33" s="5" t="inlineStr">
        <is>
          <t>C</t>
        </is>
      </c>
      <c r="D33" s="25" t="n">
        <v>31.7</v>
      </c>
      <c r="E33" s="25" t="n">
        <v>25.3</v>
      </c>
      <c r="F33" s="25" t="n">
        <v>35.3</v>
      </c>
      <c r="G33" s="25" t="n">
        <v>31.1</v>
      </c>
      <c r="H33" s="25" t="n">
        <v>27</v>
      </c>
      <c r="I33" s="25" t="n">
        <v>34.5</v>
      </c>
      <c r="J33" s="25" t="n">
        <v>26.6</v>
      </c>
      <c r="K33" s="25" t="n">
        <v>34.4</v>
      </c>
      <c r="L33" s="25" t="n">
        <v>31.9</v>
      </c>
      <c r="M33" s="25" t="n">
        <v>30.3</v>
      </c>
      <c r="N33" s="25" t="n">
        <v>30.9</v>
      </c>
      <c r="O33" s="25" t="n">
        <v>35.5</v>
      </c>
      <c r="P33" s="25" t="n">
        <v>35.5</v>
      </c>
      <c r="Q33" s="33">
        <f>SUM(D33:P33)</f>
        <v/>
      </c>
    </row>
    <row r="34">
      <c r="A34" s="5" t="inlineStr">
        <is>
          <t>P0030</t>
        </is>
      </c>
      <c r="B34" s="5" t="inlineStr">
        <is>
          <t>Home Item 030</t>
        </is>
      </c>
      <c r="C34" s="5" t="inlineStr">
        <is>
          <t>B</t>
        </is>
      </c>
      <c r="D34" s="25" t="n">
        <v>74.40000000000001</v>
      </c>
      <c r="E34" s="25" t="n">
        <v>62.1</v>
      </c>
      <c r="F34" s="25" t="n">
        <v>66.40000000000001</v>
      </c>
      <c r="G34" s="25" t="n">
        <v>68.2</v>
      </c>
      <c r="H34" s="25" t="n">
        <v>61.4</v>
      </c>
      <c r="I34" s="25" t="n">
        <v>64.90000000000001</v>
      </c>
      <c r="J34" s="25" t="n">
        <v>63.7</v>
      </c>
      <c r="K34" s="25" t="n">
        <v>61.3</v>
      </c>
      <c r="L34" s="25" t="n">
        <v>55.2</v>
      </c>
      <c r="M34" s="25" t="n">
        <v>64.40000000000001</v>
      </c>
      <c r="N34" s="25" t="n">
        <v>56.4</v>
      </c>
      <c r="O34" s="25" t="n">
        <v>61</v>
      </c>
      <c r="P34" s="25" t="n">
        <v>65.7</v>
      </c>
      <c r="Q34" s="33">
        <f>SUM(D34:P34)</f>
        <v/>
      </c>
    </row>
    <row r="35">
      <c r="A35" s="5" t="inlineStr">
        <is>
          <t>P0031</t>
        </is>
      </c>
      <c r="B35" s="5" t="inlineStr">
        <is>
          <t>Home Item 031</t>
        </is>
      </c>
      <c r="C35" s="5" t="inlineStr">
        <is>
          <t>B</t>
        </is>
      </c>
      <c r="D35" s="25" t="n">
        <v>11.3</v>
      </c>
      <c r="E35" s="25" t="n">
        <v>9</v>
      </c>
      <c r="F35" s="25" t="n">
        <v>11.3</v>
      </c>
      <c r="G35" s="25" t="n">
        <v>9.300000000000001</v>
      </c>
      <c r="H35" s="25" t="n">
        <v>9.699999999999999</v>
      </c>
      <c r="I35" s="25" t="n">
        <v>11.6</v>
      </c>
      <c r="J35" s="25" t="n">
        <v>7.2</v>
      </c>
      <c r="K35" s="25" t="n">
        <v>8.6</v>
      </c>
      <c r="L35" s="25" t="n">
        <v>8.5</v>
      </c>
      <c r="M35" s="25" t="n">
        <v>10.8</v>
      </c>
      <c r="N35" s="25" t="n">
        <v>10.8</v>
      </c>
      <c r="O35" s="25" t="n">
        <v>10.1</v>
      </c>
      <c r="P35" s="25" t="n">
        <v>8.1</v>
      </c>
      <c r="Q35" s="33">
        <f>SUM(D35:P35)</f>
        <v/>
      </c>
    </row>
    <row r="36">
      <c r="A36" s="5" t="inlineStr">
        <is>
          <t>P0032</t>
        </is>
      </c>
      <c r="B36" s="5" t="inlineStr">
        <is>
          <t>Home Item 032</t>
        </is>
      </c>
      <c r="C36" s="5" t="inlineStr">
        <is>
          <t>B</t>
        </is>
      </c>
      <c r="D36" s="25" t="n">
        <v>3.4</v>
      </c>
      <c r="E36" s="25" t="n">
        <v>4.2</v>
      </c>
      <c r="F36" s="25" t="n">
        <v>5.5</v>
      </c>
      <c r="G36" s="25" t="n">
        <v>5.9</v>
      </c>
      <c r="H36" s="25" t="n">
        <v>4.8</v>
      </c>
      <c r="I36" s="25" t="n">
        <v>5.3</v>
      </c>
      <c r="J36" s="25" t="n">
        <v>5.3</v>
      </c>
      <c r="K36" s="25" t="n">
        <v>4.8</v>
      </c>
      <c r="L36" s="25" t="n">
        <v>5.8</v>
      </c>
      <c r="M36" s="25" t="n">
        <v>5.9</v>
      </c>
      <c r="N36" s="25" t="n">
        <v>3.9</v>
      </c>
      <c r="O36" s="25" t="n">
        <v>6.6</v>
      </c>
      <c r="P36" s="25" t="n">
        <v>3.6</v>
      </c>
      <c r="Q36" s="33">
        <f>SUM(D36:P36)</f>
        <v/>
      </c>
    </row>
    <row r="37">
      <c r="A37" s="5" t="inlineStr">
        <is>
          <t>P0033</t>
        </is>
      </c>
      <c r="B37" s="5" t="inlineStr">
        <is>
          <t>Home Item 033</t>
        </is>
      </c>
      <c r="C37" s="5" t="inlineStr">
        <is>
          <t>C</t>
        </is>
      </c>
      <c r="D37" s="25" t="n">
        <v>9.5</v>
      </c>
      <c r="E37" s="25" t="n">
        <v>11.3</v>
      </c>
      <c r="F37" s="25" t="n">
        <v>13.3</v>
      </c>
      <c r="G37" s="25" t="n">
        <v>11.8</v>
      </c>
      <c r="H37" s="25" t="n">
        <v>12.2</v>
      </c>
      <c r="I37" s="25" t="n">
        <v>12.2</v>
      </c>
      <c r="J37" s="25" t="n">
        <v>11.7</v>
      </c>
      <c r="K37" s="25" t="n">
        <v>10</v>
      </c>
      <c r="L37" s="25" t="n">
        <v>11.2</v>
      </c>
      <c r="M37" s="25" t="n">
        <v>9.5</v>
      </c>
      <c r="N37" s="25" t="n">
        <v>8.9</v>
      </c>
      <c r="O37" s="25" t="n">
        <v>13.2</v>
      </c>
      <c r="P37" s="25" t="n">
        <v>11.7</v>
      </c>
      <c r="Q37" s="33">
        <f>SUM(D37:P37)</f>
        <v/>
      </c>
    </row>
    <row r="38">
      <c r="A38" s="5" t="inlineStr">
        <is>
          <t>P0034</t>
        </is>
      </c>
      <c r="B38" s="5" t="inlineStr">
        <is>
          <t>Home Item 034</t>
        </is>
      </c>
      <c r="C38" s="5" t="inlineStr">
        <is>
          <t>A</t>
        </is>
      </c>
      <c r="D38" s="25" t="n">
        <v>31.8</v>
      </c>
      <c r="E38" s="25" t="n">
        <v>32</v>
      </c>
      <c r="F38" s="25" t="n">
        <v>28.9</v>
      </c>
      <c r="G38" s="25" t="n">
        <v>32</v>
      </c>
      <c r="H38" s="25" t="n">
        <v>34.8</v>
      </c>
      <c r="I38" s="25" t="n">
        <v>28.4</v>
      </c>
      <c r="J38" s="25" t="n">
        <v>31.9</v>
      </c>
      <c r="K38" s="25" t="n">
        <v>32.2</v>
      </c>
      <c r="L38" s="25" t="n">
        <v>38.4</v>
      </c>
      <c r="M38" s="25" t="n">
        <v>34.5</v>
      </c>
      <c r="N38" s="25" t="n">
        <v>35.2</v>
      </c>
      <c r="O38" s="25" t="n">
        <v>34.3</v>
      </c>
      <c r="P38" s="25" t="n">
        <v>40.1</v>
      </c>
      <c r="Q38" s="33">
        <f>SUM(D38:P38)</f>
        <v/>
      </c>
    </row>
    <row r="39">
      <c r="A39" s="5" t="inlineStr">
        <is>
          <t>P0035</t>
        </is>
      </c>
      <c r="B39" s="5" t="inlineStr">
        <is>
          <t>Home Item 035</t>
        </is>
      </c>
      <c r="C39" s="5" t="inlineStr">
        <is>
          <t>B</t>
        </is>
      </c>
      <c r="D39" s="25" t="n">
        <v>11.4</v>
      </c>
      <c r="E39" s="25" t="n">
        <v>9.5</v>
      </c>
      <c r="F39" s="25" t="n">
        <v>10.7</v>
      </c>
      <c r="G39" s="25" t="n">
        <v>9.6</v>
      </c>
      <c r="H39" s="25" t="n">
        <v>11.4</v>
      </c>
      <c r="I39" s="25" t="n">
        <v>9.699999999999999</v>
      </c>
      <c r="J39" s="25" t="n">
        <v>13</v>
      </c>
      <c r="K39" s="25" t="n">
        <v>11.8</v>
      </c>
      <c r="L39" s="25" t="n">
        <v>11.8</v>
      </c>
      <c r="M39" s="25" t="n">
        <v>11.5</v>
      </c>
      <c r="N39" s="25" t="n">
        <v>12.3</v>
      </c>
      <c r="O39" s="25" t="n">
        <v>11.8</v>
      </c>
      <c r="P39" s="25" t="n">
        <v>9.5</v>
      </c>
      <c r="Q39" s="33">
        <f>SUM(D39:P39)</f>
        <v/>
      </c>
    </row>
    <row r="40">
      <c r="A40" s="5" t="inlineStr">
        <is>
          <t>P0036</t>
        </is>
      </c>
      <c r="B40" s="5" t="inlineStr">
        <is>
          <t>Home Item 036</t>
        </is>
      </c>
      <c r="C40" s="5" t="inlineStr">
        <is>
          <t>B</t>
        </is>
      </c>
      <c r="D40" s="25" t="n">
        <v>26.1</v>
      </c>
      <c r="E40" s="25" t="n">
        <v>21.7</v>
      </c>
      <c r="F40" s="25" t="n">
        <v>21.7</v>
      </c>
      <c r="G40" s="25" t="n">
        <v>20.6</v>
      </c>
      <c r="H40" s="25" t="n">
        <v>21.8</v>
      </c>
      <c r="I40" s="25" t="n">
        <v>20.6</v>
      </c>
      <c r="J40" s="25" t="n">
        <v>20.6</v>
      </c>
      <c r="K40" s="25" t="n">
        <v>21.3</v>
      </c>
      <c r="L40" s="25" t="n">
        <v>21.3</v>
      </c>
      <c r="M40" s="25" t="n">
        <v>18.9</v>
      </c>
      <c r="N40" s="25" t="n">
        <v>21.4</v>
      </c>
      <c r="O40" s="25" t="n">
        <v>22.1</v>
      </c>
      <c r="P40" s="25" t="n">
        <v>22.1</v>
      </c>
      <c r="Q40" s="33">
        <f>SUM(D40:P40)</f>
        <v/>
      </c>
    </row>
    <row r="41">
      <c r="A41" s="5" t="inlineStr">
        <is>
          <t>P0037</t>
        </is>
      </c>
      <c r="B41" s="5" t="inlineStr">
        <is>
          <t>Home Item 037</t>
        </is>
      </c>
      <c r="C41" s="5" t="inlineStr">
        <is>
          <t>C</t>
        </is>
      </c>
      <c r="D41" s="25" t="n">
        <v>1.9</v>
      </c>
      <c r="E41" s="25" t="n">
        <v>3</v>
      </c>
      <c r="F41" s="25" t="n">
        <v>4.3</v>
      </c>
      <c r="G41" s="25" t="n">
        <v>4.3</v>
      </c>
      <c r="H41" s="25" t="n">
        <v>4.1</v>
      </c>
      <c r="I41" s="25" t="n">
        <v>6.8</v>
      </c>
      <c r="J41" s="25" t="n">
        <v>1.9</v>
      </c>
      <c r="K41" s="25" t="n">
        <v>8.1</v>
      </c>
      <c r="L41" s="25" t="n">
        <v>3</v>
      </c>
      <c r="M41" s="25" t="n">
        <v>4.7</v>
      </c>
      <c r="N41" s="25" t="n">
        <v>3.9</v>
      </c>
      <c r="O41" s="25" t="n">
        <v>5.7</v>
      </c>
      <c r="P41" s="25" t="n">
        <v>4.8</v>
      </c>
      <c r="Q41" s="33">
        <f>SUM(D41:P41)</f>
        <v/>
      </c>
    </row>
    <row r="42">
      <c r="A42" s="5" t="inlineStr">
        <is>
          <t>P0038</t>
        </is>
      </c>
      <c r="B42" s="5" t="inlineStr">
        <is>
          <t>Home Item 038</t>
        </is>
      </c>
      <c r="C42" s="5" t="inlineStr">
        <is>
          <t>C</t>
        </is>
      </c>
      <c r="D42" s="25" t="n">
        <v>9.199999999999999</v>
      </c>
      <c r="E42" s="25" t="n">
        <v>11.1</v>
      </c>
      <c r="F42" s="25" t="n">
        <v>8.9</v>
      </c>
      <c r="G42" s="25" t="n">
        <v>10</v>
      </c>
      <c r="H42" s="25" t="n">
        <v>7.4</v>
      </c>
      <c r="I42" s="25" t="n">
        <v>8.9</v>
      </c>
      <c r="J42" s="25" t="n">
        <v>9.9</v>
      </c>
      <c r="K42" s="25" t="n">
        <v>7.6</v>
      </c>
      <c r="L42" s="25" t="n">
        <v>8.800000000000001</v>
      </c>
      <c r="M42" s="25" t="n">
        <v>7.8</v>
      </c>
      <c r="N42" s="25" t="n">
        <v>11.2</v>
      </c>
      <c r="O42" s="25" t="n">
        <v>7.5</v>
      </c>
      <c r="P42" s="25" t="n">
        <v>8.6</v>
      </c>
      <c r="Q42" s="33">
        <f>SUM(D42:P42)</f>
        <v/>
      </c>
    </row>
    <row r="43">
      <c r="A43" s="5" t="inlineStr">
        <is>
          <t>P0039</t>
        </is>
      </c>
      <c r="B43" s="5" t="inlineStr">
        <is>
          <t>Home Item 039</t>
        </is>
      </c>
      <c r="C43" s="5" t="inlineStr">
        <is>
          <t>C</t>
        </is>
      </c>
      <c r="D43" s="25" t="n">
        <v>6.2</v>
      </c>
      <c r="E43" s="25" t="n">
        <v>5</v>
      </c>
      <c r="F43" s="25" t="n">
        <v>3.7</v>
      </c>
      <c r="G43" s="25" t="n">
        <v>3.7</v>
      </c>
      <c r="H43" s="25" t="n">
        <v>3.6</v>
      </c>
      <c r="I43" s="25" t="n">
        <v>7.2</v>
      </c>
      <c r="J43" s="25" t="n">
        <v>4.4</v>
      </c>
      <c r="K43" s="25" t="n">
        <v>4.9</v>
      </c>
      <c r="L43" s="25" t="n">
        <v>5.4</v>
      </c>
      <c r="M43" s="25" t="n">
        <v>4.7</v>
      </c>
      <c r="N43" s="25" t="n">
        <v>5.5</v>
      </c>
      <c r="O43" s="25" t="n">
        <v>3.6</v>
      </c>
      <c r="P43" s="25" t="n">
        <v>4.3</v>
      </c>
      <c r="Q43" s="33">
        <f>SUM(D43:P43)</f>
        <v/>
      </c>
    </row>
    <row r="44">
      <c r="A44" s="5" t="inlineStr">
        <is>
          <t>P0040</t>
        </is>
      </c>
      <c r="B44" s="5" t="inlineStr">
        <is>
          <t>Home Item 040</t>
        </is>
      </c>
      <c r="C44" s="5" t="inlineStr">
        <is>
          <t>C</t>
        </is>
      </c>
      <c r="D44" s="25" t="n">
        <v>7</v>
      </c>
      <c r="E44" s="25" t="n">
        <v>8</v>
      </c>
      <c r="F44" s="25" t="n">
        <v>5.5</v>
      </c>
      <c r="G44" s="25" t="n">
        <v>6.2</v>
      </c>
      <c r="H44" s="25" t="n">
        <v>7.3</v>
      </c>
      <c r="I44" s="25" t="n">
        <v>6.9</v>
      </c>
      <c r="J44" s="25" t="n">
        <v>8.6</v>
      </c>
      <c r="K44" s="25" t="n">
        <v>5.4</v>
      </c>
      <c r="L44" s="25" t="n">
        <v>5.4</v>
      </c>
      <c r="M44" s="25" t="n">
        <v>8</v>
      </c>
      <c r="N44" s="25" t="n">
        <v>6.6</v>
      </c>
      <c r="O44" s="25" t="n">
        <v>5.3</v>
      </c>
      <c r="P44" s="25" t="n">
        <v>5</v>
      </c>
      <c r="Q44" s="33">
        <f>SUM(D44:P44)</f>
        <v/>
      </c>
    </row>
    <row r="45">
      <c r="A45" s="5" t="inlineStr">
        <is>
          <t>P0041</t>
        </is>
      </c>
      <c r="B45" s="5" t="inlineStr">
        <is>
          <t>Home Item 041</t>
        </is>
      </c>
      <c r="C45" s="5" t="inlineStr">
        <is>
          <t>A</t>
        </is>
      </c>
      <c r="D45" s="25" t="n">
        <v>43.4</v>
      </c>
      <c r="E45" s="25" t="n">
        <v>47</v>
      </c>
      <c r="F45" s="25" t="n">
        <v>45.8</v>
      </c>
      <c r="G45" s="25" t="n">
        <v>44.7</v>
      </c>
      <c r="H45" s="25" t="n">
        <v>43.4</v>
      </c>
      <c r="I45" s="25" t="n">
        <v>47.1</v>
      </c>
      <c r="J45" s="25" t="n">
        <v>47.1</v>
      </c>
      <c r="K45" s="25" t="n">
        <v>50.2</v>
      </c>
      <c r="L45" s="25" t="n">
        <v>50.1</v>
      </c>
      <c r="M45" s="25" t="n">
        <v>53.1</v>
      </c>
      <c r="N45" s="25" t="n">
        <v>62.1</v>
      </c>
      <c r="O45" s="25" t="n">
        <v>48.3</v>
      </c>
      <c r="P45" s="25" t="n">
        <v>53.7</v>
      </c>
      <c r="Q45" s="33">
        <f>SUM(D45:P45)</f>
        <v/>
      </c>
    </row>
    <row r="46">
      <c r="A46" s="5" t="inlineStr">
        <is>
          <t>P0042</t>
        </is>
      </c>
      <c r="B46" s="5" t="inlineStr">
        <is>
          <t>Home Item 042</t>
        </is>
      </c>
      <c r="C46" s="5" t="inlineStr">
        <is>
          <t>B</t>
        </is>
      </c>
      <c r="D46" s="25" t="n">
        <v>22.2</v>
      </c>
      <c r="E46" s="25" t="n">
        <v>20</v>
      </c>
      <c r="F46" s="25" t="n">
        <v>23.9</v>
      </c>
      <c r="G46" s="25" t="n">
        <v>15.9</v>
      </c>
      <c r="H46" s="25" t="n">
        <v>16.1</v>
      </c>
      <c r="I46" s="25" t="n">
        <v>17.4</v>
      </c>
      <c r="J46" s="25" t="n">
        <v>18.7</v>
      </c>
      <c r="K46" s="25" t="n">
        <v>18.2</v>
      </c>
      <c r="L46" s="25" t="n">
        <v>20.6</v>
      </c>
      <c r="M46" s="25" t="n">
        <v>22.4</v>
      </c>
      <c r="N46" s="25" t="n">
        <v>19.2</v>
      </c>
      <c r="O46" s="25" t="n">
        <v>19.3</v>
      </c>
      <c r="P46" s="25" t="n">
        <v>21.1</v>
      </c>
      <c r="Q46" s="33">
        <f>SUM(D46:P46)</f>
        <v/>
      </c>
    </row>
    <row r="47">
      <c r="A47" s="5" t="inlineStr">
        <is>
          <t>P0043</t>
        </is>
      </c>
      <c r="B47" s="5" t="inlineStr">
        <is>
          <t>Home Item 043</t>
        </is>
      </c>
      <c r="C47" s="5" t="inlineStr">
        <is>
          <t>C</t>
        </is>
      </c>
      <c r="D47" s="25" t="n">
        <v>4.9</v>
      </c>
      <c r="E47" s="25" t="n">
        <v>5.4</v>
      </c>
      <c r="F47" s="25" t="n">
        <v>1.8</v>
      </c>
      <c r="G47" s="25" t="n">
        <v>5.4</v>
      </c>
      <c r="H47" s="25" t="n">
        <v>5.4</v>
      </c>
      <c r="I47" s="25" t="n">
        <v>2.7</v>
      </c>
      <c r="J47" s="25" t="n">
        <v>5.4</v>
      </c>
      <c r="K47" s="25" t="n">
        <v>2.8</v>
      </c>
      <c r="L47" s="25" t="n">
        <v>3.6</v>
      </c>
      <c r="M47" s="25" t="n">
        <v>5.1</v>
      </c>
      <c r="N47" s="25" t="n">
        <v>3.5</v>
      </c>
      <c r="O47" s="25" t="n">
        <v>5.2</v>
      </c>
      <c r="P47" s="25" t="n">
        <v>5.1</v>
      </c>
      <c r="Q47" s="33">
        <f>SUM(D47:P47)</f>
        <v/>
      </c>
    </row>
    <row r="48">
      <c r="A48" s="5" t="inlineStr">
        <is>
          <t>P0044</t>
        </is>
      </c>
      <c r="B48" s="5" t="inlineStr">
        <is>
          <t>Home Item 044</t>
        </is>
      </c>
      <c r="C48" s="5" t="inlineStr">
        <is>
          <t>A</t>
        </is>
      </c>
      <c r="D48" s="25" t="n">
        <v>36.5</v>
      </c>
      <c r="E48" s="25" t="n">
        <v>28.5</v>
      </c>
      <c r="F48" s="25" t="n">
        <v>30.9</v>
      </c>
      <c r="G48" s="25" t="n">
        <v>29.9</v>
      </c>
      <c r="H48" s="25" t="n">
        <v>25.8</v>
      </c>
      <c r="I48" s="25" t="n">
        <v>27.2</v>
      </c>
      <c r="J48" s="25" t="n">
        <v>26.9</v>
      </c>
      <c r="K48" s="25" t="n">
        <v>26.4</v>
      </c>
      <c r="L48" s="25" t="n">
        <v>26.6</v>
      </c>
      <c r="M48" s="25" t="n">
        <v>25.1</v>
      </c>
      <c r="N48" s="25" t="n">
        <v>26.7</v>
      </c>
      <c r="O48" s="25" t="n">
        <v>24.8</v>
      </c>
      <c r="P48" s="25" t="n">
        <v>25.3</v>
      </c>
      <c r="Q48" s="33">
        <f>SUM(D48:P48)</f>
        <v/>
      </c>
    </row>
    <row r="49">
      <c r="A49" s="5" t="inlineStr">
        <is>
          <t>P0045</t>
        </is>
      </c>
      <c r="B49" s="5" t="inlineStr">
        <is>
          <t>Home Item 045</t>
        </is>
      </c>
      <c r="C49" s="5" t="inlineStr">
        <is>
          <t>C</t>
        </is>
      </c>
      <c r="D49" s="25" t="n">
        <v>10</v>
      </c>
      <c r="E49" s="25" t="n">
        <v>9.1</v>
      </c>
      <c r="F49" s="25" t="n">
        <v>11.1</v>
      </c>
      <c r="G49" s="25" t="n">
        <v>10.5</v>
      </c>
      <c r="H49" s="25" t="n">
        <v>9.699999999999999</v>
      </c>
      <c r="I49" s="25" t="n">
        <v>9.6</v>
      </c>
      <c r="J49" s="25" t="n">
        <v>10.4</v>
      </c>
      <c r="K49" s="25" t="n">
        <v>9.6</v>
      </c>
      <c r="L49" s="25" t="n">
        <v>8.6</v>
      </c>
      <c r="M49" s="25" t="n">
        <v>9.800000000000001</v>
      </c>
      <c r="N49" s="25" t="n">
        <v>10.4</v>
      </c>
      <c r="O49" s="25" t="n">
        <v>8.800000000000001</v>
      </c>
      <c r="P49" s="25" t="n">
        <v>9.4</v>
      </c>
      <c r="Q49" s="33">
        <f>SUM(D49:P49)</f>
        <v/>
      </c>
    </row>
    <row r="50">
      <c r="A50" s="5" t="inlineStr">
        <is>
          <t>P0046</t>
        </is>
      </c>
      <c r="B50" s="5" t="inlineStr">
        <is>
          <t>Home Item 046</t>
        </is>
      </c>
      <c r="C50" s="5" t="inlineStr">
        <is>
          <t>C</t>
        </is>
      </c>
      <c r="D50" s="25" t="n">
        <v>8.800000000000001</v>
      </c>
      <c r="E50" s="25" t="n">
        <v>8.800000000000001</v>
      </c>
      <c r="F50" s="25" t="n">
        <v>6.5</v>
      </c>
      <c r="G50" s="25" t="n">
        <v>2</v>
      </c>
      <c r="H50" s="25" t="n">
        <v>5.7</v>
      </c>
      <c r="I50" s="25" t="n">
        <v>9.4</v>
      </c>
      <c r="J50" s="25" t="n">
        <v>5.7</v>
      </c>
      <c r="K50" s="25" t="n">
        <v>8.699999999999999</v>
      </c>
      <c r="L50" s="25" t="n">
        <v>8.699999999999999</v>
      </c>
      <c r="M50" s="25" t="n">
        <v>6.2</v>
      </c>
      <c r="N50" s="25" t="n">
        <v>4</v>
      </c>
      <c r="O50" s="25" t="n">
        <v>6.3</v>
      </c>
      <c r="P50" s="25" t="n">
        <v>8.6</v>
      </c>
      <c r="Q50" s="33">
        <f>SUM(D50:P50)</f>
        <v/>
      </c>
    </row>
    <row r="51">
      <c r="A51" s="5" t="inlineStr">
        <is>
          <t>P0047</t>
        </is>
      </c>
      <c r="B51" s="5" t="inlineStr">
        <is>
          <t>Home Item 047</t>
        </is>
      </c>
      <c r="C51" s="5" t="inlineStr">
        <is>
          <t>B</t>
        </is>
      </c>
      <c r="D51" s="25" t="n">
        <v>8.6</v>
      </c>
      <c r="E51" s="25" t="n">
        <v>9.9</v>
      </c>
      <c r="F51" s="25" t="n">
        <v>9.9</v>
      </c>
      <c r="G51" s="25" t="n">
        <v>8</v>
      </c>
      <c r="H51" s="25" t="n">
        <v>9.800000000000001</v>
      </c>
      <c r="I51" s="25" t="n">
        <v>8.9</v>
      </c>
      <c r="J51" s="25" t="n">
        <v>11.8</v>
      </c>
      <c r="K51" s="25" t="n">
        <v>12.5</v>
      </c>
      <c r="L51" s="25" t="n">
        <v>12.5</v>
      </c>
      <c r="M51" s="25" t="n">
        <v>9.1</v>
      </c>
      <c r="N51" s="25" t="n">
        <v>8.300000000000001</v>
      </c>
      <c r="O51" s="25" t="n">
        <v>9</v>
      </c>
      <c r="P51" s="25" t="n">
        <v>8.4</v>
      </c>
      <c r="Q51" s="33">
        <f>SUM(D51:P51)</f>
        <v/>
      </c>
    </row>
    <row r="52">
      <c r="A52" s="5" t="inlineStr">
        <is>
          <t>P0048</t>
        </is>
      </c>
      <c r="B52" s="5" t="inlineStr">
        <is>
          <t>Home Item 048</t>
        </is>
      </c>
      <c r="C52" s="5" t="inlineStr">
        <is>
          <t>C</t>
        </is>
      </c>
      <c r="D52" s="25" t="n">
        <v>18.1</v>
      </c>
      <c r="E52" s="25" t="n">
        <v>22.9</v>
      </c>
      <c r="F52" s="25" t="n">
        <v>14.4</v>
      </c>
      <c r="G52" s="25" t="n">
        <v>19.4</v>
      </c>
      <c r="H52" s="25" t="n">
        <v>19.5</v>
      </c>
      <c r="I52" s="25" t="n">
        <v>21.8</v>
      </c>
      <c r="J52" s="25" t="n">
        <v>20.8</v>
      </c>
      <c r="K52" s="25" t="n">
        <v>18.1</v>
      </c>
      <c r="L52" s="25" t="n">
        <v>21.8</v>
      </c>
      <c r="M52" s="25" t="n">
        <v>19</v>
      </c>
      <c r="N52" s="25" t="n">
        <v>25.1</v>
      </c>
      <c r="O52" s="25" t="n">
        <v>16.4</v>
      </c>
      <c r="P52" s="25" t="n">
        <v>24</v>
      </c>
      <c r="Q52" s="33">
        <f>SUM(D52:P52)</f>
        <v/>
      </c>
    </row>
    <row r="53">
      <c r="A53" s="5" t="inlineStr">
        <is>
          <t>P0049</t>
        </is>
      </c>
      <c r="B53" s="5" t="inlineStr">
        <is>
          <t>Home Item 049</t>
        </is>
      </c>
      <c r="C53" s="5" t="inlineStr">
        <is>
          <t>C</t>
        </is>
      </c>
      <c r="D53" s="25" t="n">
        <v>9.6</v>
      </c>
      <c r="E53" s="25" t="n">
        <v>6.2</v>
      </c>
      <c r="F53" s="25" t="n">
        <v>8.4</v>
      </c>
      <c r="G53" s="25" t="n">
        <v>7.8</v>
      </c>
      <c r="H53" s="25" t="n">
        <v>10.2</v>
      </c>
      <c r="I53" s="25" t="n">
        <v>10.2</v>
      </c>
      <c r="J53" s="25" t="n">
        <v>7.4</v>
      </c>
      <c r="K53" s="25" t="n">
        <v>7.7</v>
      </c>
      <c r="L53" s="25" t="n">
        <v>7.5</v>
      </c>
      <c r="M53" s="25" t="n">
        <v>7.5</v>
      </c>
      <c r="N53" s="25" t="n">
        <v>3.2</v>
      </c>
      <c r="O53" s="25" t="n">
        <v>8.300000000000001</v>
      </c>
      <c r="P53" s="25" t="n">
        <v>7.7</v>
      </c>
      <c r="Q53" s="33">
        <f>SUM(D53:P53)</f>
        <v/>
      </c>
    </row>
    <row r="54">
      <c r="A54" s="5" t="inlineStr">
        <is>
          <t>P0050</t>
        </is>
      </c>
      <c r="B54" s="5" t="inlineStr">
        <is>
          <t>Home Item 050</t>
        </is>
      </c>
      <c r="C54" s="5" t="inlineStr">
        <is>
          <t>C</t>
        </is>
      </c>
      <c r="D54" s="25" t="n">
        <v>10.6</v>
      </c>
      <c r="E54" s="25" t="n">
        <v>9.4</v>
      </c>
      <c r="F54" s="25" t="n">
        <v>9.800000000000001</v>
      </c>
      <c r="G54" s="25" t="n">
        <v>10.1</v>
      </c>
      <c r="H54" s="25" t="n">
        <v>10.1</v>
      </c>
      <c r="I54" s="25" t="n">
        <v>9.300000000000001</v>
      </c>
      <c r="J54" s="25" t="n">
        <v>9.699999999999999</v>
      </c>
      <c r="K54" s="25" t="n">
        <v>4.2</v>
      </c>
      <c r="L54" s="25" t="n">
        <v>9.6</v>
      </c>
      <c r="M54" s="25" t="n">
        <v>10.7</v>
      </c>
      <c r="N54" s="25" t="n">
        <v>8.4</v>
      </c>
      <c r="O54" s="25" t="n">
        <v>10.7</v>
      </c>
      <c r="P54" s="25" t="n">
        <v>9.1</v>
      </c>
      <c r="Q54" s="33">
        <f>SUM(D54:P54)</f>
        <v/>
      </c>
    </row>
    <row r="55">
      <c r="A55" s="5" t="inlineStr">
        <is>
          <t>P0051</t>
        </is>
      </c>
      <c r="B55" s="5" t="inlineStr">
        <is>
          <t>Home Item 051</t>
        </is>
      </c>
      <c r="C55" s="5" t="inlineStr">
        <is>
          <t>C</t>
        </is>
      </c>
      <c r="D55" s="25" t="n">
        <v>7.4</v>
      </c>
      <c r="E55" s="25" t="n">
        <v>6.7</v>
      </c>
      <c r="F55" s="25" t="n">
        <v>5.6</v>
      </c>
      <c r="G55" s="25" t="n">
        <v>6.7</v>
      </c>
      <c r="H55" s="25" t="n">
        <v>5.6</v>
      </c>
      <c r="I55" s="25" t="n">
        <v>5.3</v>
      </c>
      <c r="J55" s="25" t="n">
        <v>5.3</v>
      </c>
      <c r="K55" s="25" t="n">
        <v>5.5</v>
      </c>
      <c r="L55" s="25" t="n">
        <v>4.4</v>
      </c>
      <c r="M55" s="25" t="n">
        <v>4.4</v>
      </c>
      <c r="N55" s="25" t="n">
        <v>5.6</v>
      </c>
      <c r="O55" s="25" t="n">
        <v>4.5</v>
      </c>
      <c r="P55" s="25" t="n">
        <v>5.1</v>
      </c>
      <c r="Q55" s="33">
        <f>SUM(D55:P55)</f>
        <v/>
      </c>
    </row>
    <row r="56">
      <c r="A56" s="5" t="inlineStr">
        <is>
          <t>P0052</t>
        </is>
      </c>
      <c r="B56" s="5" t="inlineStr">
        <is>
          <t>Home Item 052</t>
        </is>
      </c>
      <c r="C56" s="5" t="inlineStr">
        <is>
          <t>A</t>
        </is>
      </c>
      <c r="D56" s="25" t="n">
        <v>27.4</v>
      </c>
      <c r="E56" s="25" t="n">
        <v>26.4</v>
      </c>
      <c r="F56" s="25" t="n">
        <v>22.3</v>
      </c>
      <c r="G56" s="25" t="n">
        <v>26.1</v>
      </c>
      <c r="H56" s="25" t="n">
        <v>27.4</v>
      </c>
      <c r="I56" s="25" t="n">
        <v>22.9</v>
      </c>
      <c r="J56" s="25" t="n">
        <v>26.4</v>
      </c>
      <c r="K56" s="25" t="n">
        <v>29.4</v>
      </c>
      <c r="L56" s="25" t="n">
        <v>29.9</v>
      </c>
      <c r="M56" s="25" t="n">
        <v>30</v>
      </c>
      <c r="N56" s="25" t="n">
        <v>30</v>
      </c>
      <c r="O56" s="25" t="n">
        <v>27.6</v>
      </c>
      <c r="P56" s="25" t="n">
        <v>27.8</v>
      </c>
      <c r="Q56" s="33">
        <f>SUM(D56:P56)</f>
        <v/>
      </c>
    </row>
    <row r="57">
      <c r="A57" s="5" t="inlineStr">
        <is>
          <t>P0053</t>
        </is>
      </c>
      <c r="B57" s="5" t="inlineStr">
        <is>
          <t>Home Item 053</t>
        </is>
      </c>
      <c r="C57" s="5" t="inlineStr">
        <is>
          <t>B</t>
        </is>
      </c>
      <c r="D57" s="25" t="n">
        <v>18.7</v>
      </c>
      <c r="E57" s="25" t="n">
        <v>17.4</v>
      </c>
      <c r="F57" s="25" t="n">
        <v>17.4</v>
      </c>
      <c r="G57" s="25" t="n">
        <v>18.7</v>
      </c>
      <c r="H57" s="25" t="n">
        <v>17.4</v>
      </c>
      <c r="I57" s="25" t="n">
        <v>17.8</v>
      </c>
      <c r="J57" s="25" t="n">
        <v>22.4</v>
      </c>
      <c r="K57" s="25" t="n">
        <v>19.1</v>
      </c>
      <c r="L57" s="25" t="n">
        <v>17.3</v>
      </c>
      <c r="M57" s="25" t="n">
        <v>15.9</v>
      </c>
      <c r="N57" s="25" t="n">
        <v>15.1</v>
      </c>
      <c r="O57" s="25" t="n">
        <v>20.6</v>
      </c>
      <c r="P57" s="25" t="n">
        <v>18.4</v>
      </c>
      <c r="Q57" s="33">
        <f>SUM(D57:P57)</f>
        <v/>
      </c>
    </row>
    <row r="58">
      <c r="A58" s="5" t="inlineStr">
        <is>
          <t>P0054</t>
        </is>
      </c>
      <c r="B58" s="5" t="inlineStr">
        <is>
          <t>Home Item 054</t>
        </is>
      </c>
      <c r="C58" s="5" t="inlineStr">
        <is>
          <t>A</t>
        </is>
      </c>
      <c r="D58" s="25" t="n">
        <v>117.9</v>
      </c>
      <c r="E58" s="25" t="n">
        <v>89.3</v>
      </c>
      <c r="F58" s="25" t="n">
        <v>108.4</v>
      </c>
      <c r="G58" s="25" t="n">
        <v>103.2</v>
      </c>
      <c r="H58" s="25" t="n">
        <v>94</v>
      </c>
      <c r="I58" s="25" t="n">
        <v>98.5</v>
      </c>
      <c r="J58" s="25" t="n">
        <v>94.59999999999999</v>
      </c>
      <c r="K58" s="25" t="n">
        <v>88.7</v>
      </c>
      <c r="L58" s="25" t="n">
        <v>91.3</v>
      </c>
      <c r="M58" s="25" t="n">
        <v>100.9</v>
      </c>
      <c r="N58" s="25" t="n">
        <v>107.8</v>
      </c>
      <c r="O58" s="25" t="n">
        <v>96.8</v>
      </c>
      <c r="P58" s="25" t="n">
        <v>95.8</v>
      </c>
      <c r="Q58" s="33">
        <f>SUM(D58:P58)</f>
        <v/>
      </c>
    </row>
    <row r="59">
      <c r="A59" s="5" t="inlineStr">
        <is>
          <t>P0055</t>
        </is>
      </c>
      <c r="B59" s="5" t="inlineStr">
        <is>
          <t>Home Item 055</t>
        </is>
      </c>
      <c r="C59" s="5" t="inlineStr">
        <is>
          <t>B</t>
        </is>
      </c>
      <c r="D59" s="25" t="n">
        <v>27.9</v>
      </c>
      <c r="E59" s="25" t="n">
        <v>27.1</v>
      </c>
      <c r="F59" s="25" t="n">
        <v>27.1</v>
      </c>
      <c r="G59" s="25" t="n">
        <v>27.2</v>
      </c>
      <c r="H59" s="25" t="n">
        <v>27.2</v>
      </c>
      <c r="I59" s="25" t="n">
        <v>26.2</v>
      </c>
      <c r="J59" s="25" t="n">
        <v>30.8</v>
      </c>
      <c r="K59" s="25" t="n">
        <v>26</v>
      </c>
      <c r="L59" s="25" t="n">
        <v>25.1</v>
      </c>
      <c r="M59" s="25" t="n">
        <v>25.9</v>
      </c>
      <c r="N59" s="25" t="n">
        <v>27.9</v>
      </c>
      <c r="O59" s="25" t="n">
        <v>27.4</v>
      </c>
      <c r="P59" s="25" t="n">
        <v>27.4</v>
      </c>
      <c r="Q59" s="33">
        <f>SUM(D59:P59)</f>
        <v/>
      </c>
    </row>
    <row r="60">
      <c r="A60" s="5" t="inlineStr">
        <is>
          <t>P0056</t>
        </is>
      </c>
      <c r="B60" s="5" t="inlineStr">
        <is>
          <t>Outdoor Item 056</t>
        </is>
      </c>
      <c r="C60" s="5" t="inlineStr">
        <is>
          <t>A</t>
        </is>
      </c>
      <c r="D60" s="25" t="n">
        <v>106.7</v>
      </c>
      <c r="E60" s="25" t="n">
        <v>112.8</v>
      </c>
      <c r="F60" s="25" t="n">
        <v>96.8</v>
      </c>
      <c r="G60" s="25" t="n">
        <v>97.09999999999999</v>
      </c>
      <c r="H60" s="25" t="n">
        <v>115.8</v>
      </c>
      <c r="I60" s="25" t="n">
        <v>105.1</v>
      </c>
      <c r="J60" s="25" t="n">
        <v>102.3</v>
      </c>
      <c r="K60" s="25" t="n">
        <v>100.8</v>
      </c>
      <c r="L60" s="25" t="n">
        <v>103.3</v>
      </c>
      <c r="M60" s="25" t="n">
        <v>136.9</v>
      </c>
      <c r="N60" s="25" t="n">
        <v>163.1</v>
      </c>
      <c r="O60" s="25" t="n">
        <v>144.5</v>
      </c>
      <c r="P60" s="25" t="n">
        <v>128.1</v>
      </c>
      <c r="Q60" s="33">
        <f>SUM(D60:P60)</f>
        <v/>
      </c>
    </row>
    <row r="61">
      <c r="A61" s="5" t="inlineStr">
        <is>
          <t>P0057</t>
        </is>
      </c>
      <c r="B61" s="5" t="inlineStr">
        <is>
          <t>Outdoor Item 057</t>
        </is>
      </c>
      <c r="C61" s="5" t="inlineStr">
        <is>
          <t>C</t>
        </is>
      </c>
      <c r="D61" s="25" t="n">
        <v>17</v>
      </c>
      <c r="E61" s="25" t="n">
        <v>10.6</v>
      </c>
      <c r="F61" s="25" t="n">
        <v>12.9</v>
      </c>
      <c r="G61" s="25" t="n">
        <v>13.6</v>
      </c>
      <c r="H61" s="25" t="n">
        <v>12.8</v>
      </c>
      <c r="I61" s="25" t="n">
        <v>16.4</v>
      </c>
      <c r="J61" s="25" t="n">
        <v>16.4</v>
      </c>
      <c r="K61" s="25" t="n">
        <v>12.8</v>
      </c>
      <c r="L61" s="25" t="n">
        <v>16.8</v>
      </c>
      <c r="M61" s="25" t="n">
        <v>27.1</v>
      </c>
      <c r="N61" s="25" t="n">
        <v>27.1</v>
      </c>
      <c r="O61" s="25" t="n">
        <v>30</v>
      </c>
      <c r="P61" s="25" t="n">
        <v>21.4</v>
      </c>
      <c r="Q61" s="33">
        <f>SUM(D61:P61)</f>
        <v/>
      </c>
    </row>
    <row r="62">
      <c r="A62" s="5" t="inlineStr">
        <is>
          <t>P0058</t>
        </is>
      </c>
      <c r="B62" s="5" t="inlineStr">
        <is>
          <t>Outdoor Item 058</t>
        </is>
      </c>
      <c r="C62" s="5" t="inlineStr">
        <is>
          <t>C</t>
        </is>
      </c>
      <c r="D62" s="25" t="n">
        <v>1.2</v>
      </c>
      <c r="E62" s="25" t="n">
        <v>1.2</v>
      </c>
      <c r="F62" s="25" t="n">
        <v>0.6</v>
      </c>
      <c r="G62" s="25" t="n">
        <v>1.2</v>
      </c>
      <c r="H62" s="25" t="n">
        <v>1.3</v>
      </c>
      <c r="I62" s="25" t="n">
        <v>0.6</v>
      </c>
      <c r="J62" s="25" t="n">
        <v>0.6</v>
      </c>
      <c r="K62" s="25" t="n">
        <v>0.6</v>
      </c>
      <c r="L62" s="25" t="n">
        <v>0.6</v>
      </c>
      <c r="M62" s="25" t="n">
        <v>0.9</v>
      </c>
      <c r="N62" s="25" t="n">
        <v>0.7</v>
      </c>
      <c r="O62" s="25" t="n">
        <v>1.2</v>
      </c>
      <c r="P62" s="25" t="n">
        <v>0.8</v>
      </c>
      <c r="Q62" s="33">
        <f>SUM(D62:P62)</f>
        <v/>
      </c>
    </row>
    <row r="63">
      <c r="A63" s="5" t="inlineStr">
        <is>
          <t>P0059</t>
        </is>
      </c>
      <c r="B63" s="5" t="inlineStr">
        <is>
          <t>Outdoor Item 059</t>
        </is>
      </c>
      <c r="C63" s="5" t="inlineStr">
        <is>
          <t>B</t>
        </is>
      </c>
      <c r="D63" s="25" t="n">
        <v>38.7</v>
      </c>
      <c r="E63" s="25" t="n">
        <v>39.3</v>
      </c>
      <c r="F63" s="25" t="n">
        <v>37.2</v>
      </c>
      <c r="G63" s="25" t="n">
        <v>39.8</v>
      </c>
      <c r="H63" s="25" t="n">
        <v>36.1</v>
      </c>
      <c r="I63" s="25" t="n">
        <v>40.7</v>
      </c>
      <c r="J63" s="25" t="n">
        <v>43.4</v>
      </c>
      <c r="K63" s="25" t="n">
        <v>46.5</v>
      </c>
      <c r="L63" s="25" t="n">
        <v>38.2</v>
      </c>
      <c r="M63" s="25" t="n">
        <v>74.8</v>
      </c>
      <c r="N63" s="25" t="n">
        <v>55.2</v>
      </c>
      <c r="O63" s="25" t="n">
        <v>73.59999999999999</v>
      </c>
      <c r="P63" s="25" t="n">
        <v>65.40000000000001</v>
      </c>
      <c r="Q63" s="33">
        <f>SUM(D63:P63)</f>
        <v/>
      </c>
    </row>
    <row r="64">
      <c r="A64" s="5" t="inlineStr">
        <is>
          <t>P0060</t>
        </is>
      </c>
      <c r="B64" s="5" t="inlineStr">
        <is>
          <t>Outdoor Item 060</t>
        </is>
      </c>
      <c r="C64" s="5" t="inlineStr">
        <is>
          <t>A</t>
        </is>
      </c>
      <c r="D64" s="25" t="n">
        <v>14</v>
      </c>
      <c r="E64" s="25" t="n">
        <v>11.7</v>
      </c>
      <c r="F64" s="25" t="n">
        <v>11.5</v>
      </c>
      <c r="G64" s="25" t="n">
        <v>12.1</v>
      </c>
      <c r="H64" s="25" t="n">
        <v>10.2</v>
      </c>
      <c r="I64" s="25" t="n">
        <v>11.7</v>
      </c>
      <c r="J64" s="25" t="n">
        <v>10.4</v>
      </c>
      <c r="K64" s="25" t="n">
        <v>11.2</v>
      </c>
      <c r="L64" s="25" t="n">
        <v>11.1</v>
      </c>
      <c r="M64" s="25" t="n">
        <v>14.4</v>
      </c>
      <c r="N64" s="25" t="n">
        <v>13.3</v>
      </c>
      <c r="O64" s="25" t="n">
        <v>12.8</v>
      </c>
      <c r="P64" s="25" t="n">
        <v>13.7</v>
      </c>
      <c r="Q64" s="33">
        <f>SUM(D64:P64)</f>
        <v/>
      </c>
    </row>
    <row r="65">
      <c r="A65" s="5" t="inlineStr">
        <is>
          <t>P0061</t>
        </is>
      </c>
      <c r="B65" s="5" t="inlineStr">
        <is>
          <t>Outdoor Item 061</t>
        </is>
      </c>
      <c r="C65" s="5" t="inlineStr">
        <is>
          <t>B</t>
        </is>
      </c>
      <c r="D65" s="25" t="n">
        <v>11.1</v>
      </c>
      <c r="E65" s="25" t="n">
        <v>11.1</v>
      </c>
      <c r="F65" s="25" t="n">
        <v>12.3</v>
      </c>
      <c r="G65" s="25" t="n">
        <v>16.9</v>
      </c>
      <c r="H65" s="25" t="n">
        <v>12.6</v>
      </c>
      <c r="I65" s="25" t="n">
        <v>15.6</v>
      </c>
      <c r="J65" s="25" t="n">
        <v>13.1</v>
      </c>
      <c r="K65" s="25" t="n">
        <v>15.2</v>
      </c>
      <c r="L65" s="25" t="n">
        <v>11.5</v>
      </c>
      <c r="M65" s="25" t="n">
        <v>19</v>
      </c>
      <c r="N65" s="25" t="n">
        <v>20</v>
      </c>
      <c r="O65" s="25" t="n">
        <v>19.9</v>
      </c>
      <c r="P65" s="25" t="n">
        <v>19.5</v>
      </c>
      <c r="Q65" s="33">
        <f>SUM(D65:P65)</f>
        <v/>
      </c>
    </row>
    <row r="66">
      <c r="A66" s="5" t="inlineStr">
        <is>
          <t>P0062</t>
        </is>
      </c>
      <c r="B66" s="5" t="inlineStr">
        <is>
          <t>Outdoor Item 062</t>
        </is>
      </c>
      <c r="C66" s="5" t="inlineStr">
        <is>
          <t>C</t>
        </is>
      </c>
      <c r="D66" s="25" t="n">
        <v>6.2</v>
      </c>
      <c r="E66" s="25" t="n">
        <v>5.5</v>
      </c>
      <c r="F66" s="25" t="n">
        <v>4.7</v>
      </c>
      <c r="G66" s="25" t="n">
        <v>4.8</v>
      </c>
      <c r="H66" s="25" t="n">
        <v>4.9</v>
      </c>
      <c r="I66" s="25" t="n">
        <v>3.6</v>
      </c>
      <c r="J66" s="25" t="n">
        <v>4.5</v>
      </c>
      <c r="K66" s="25" t="n">
        <v>6.8</v>
      </c>
      <c r="L66" s="25" t="n">
        <v>4.4</v>
      </c>
      <c r="M66" s="25" t="n">
        <v>10.5</v>
      </c>
      <c r="N66" s="25" t="n">
        <v>9.300000000000001</v>
      </c>
      <c r="O66" s="25" t="n">
        <v>7.7</v>
      </c>
      <c r="P66" s="25" t="n">
        <v>6.3</v>
      </c>
      <c r="Q66" s="33">
        <f>SUM(D66:P66)</f>
        <v/>
      </c>
    </row>
    <row r="67">
      <c r="A67" s="5" t="inlineStr">
        <is>
          <t>P0063</t>
        </is>
      </c>
      <c r="B67" s="5" t="inlineStr">
        <is>
          <t>Outdoor Item 063</t>
        </is>
      </c>
      <c r="C67" s="5" t="inlineStr">
        <is>
          <t>B</t>
        </is>
      </c>
      <c r="D67" s="25" t="n">
        <v>2.4</v>
      </c>
      <c r="E67" s="25" t="n">
        <v>2.4</v>
      </c>
      <c r="F67" s="25" t="n">
        <v>2.9</v>
      </c>
      <c r="G67" s="25" t="n">
        <v>2.5</v>
      </c>
      <c r="H67" s="25" t="n">
        <v>2.4</v>
      </c>
      <c r="I67" s="25" t="n">
        <v>2.1</v>
      </c>
      <c r="J67" s="25" t="n">
        <v>2.6</v>
      </c>
      <c r="K67" s="25" t="n">
        <v>2</v>
      </c>
      <c r="L67" s="25" t="n">
        <v>2.3</v>
      </c>
      <c r="M67" s="25" t="n">
        <v>3.3</v>
      </c>
      <c r="N67" s="25" t="n">
        <v>2.6</v>
      </c>
      <c r="O67" s="25" t="n">
        <v>4</v>
      </c>
      <c r="P67" s="25" t="n">
        <v>2.6</v>
      </c>
      <c r="Q67" s="33">
        <f>SUM(D67:P67)</f>
        <v/>
      </c>
    </row>
    <row r="68">
      <c r="A68" s="5" t="inlineStr">
        <is>
          <t>P0064</t>
        </is>
      </c>
      <c r="B68" s="5" t="inlineStr">
        <is>
          <t>Outdoor Item 064</t>
        </is>
      </c>
      <c r="C68" s="5" t="inlineStr">
        <is>
          <t>A</t>
        </is>
      </c>
      <c r="D68" s="25" t="n">
        <v>23.3</v>
      </c>
      <c r="E68" s="25" t="n">
        <v>21.2</v>
      </c>
      <c r="F68" s="25" t="n">
        <v>24.3</v>
      </c>
      <c r="G68" s="25" t="n">
        <v>21.9</v>
      </c>
      <c r="H68" s="25" t="n">
        <v>20.8</v>
      </c>
      <c r="I68" s="25" t="n">
        <v>22.2</v>
      </c>
      <c r="J68" s="25" t="n">
        <v>22.2</v>
      </c>
      <c r="K68" s="25" t="n">
        <v>26.7</v>
      </c>
      <c r="L68" s="25" t="n">
        <v>22.2</v>
      </c>
      <c r="M68" s="25" t="n">
        <v>32.9</v>
      </c>
      <c r="N68" s="25" t="n">
        <v>28.7</v>
      </c>
      <c r="O68" s="25" t="n">
        <v>34.1</v>
      </c>
      <c r="P68" s="25" t="n">
        <v>31.5</v>
      </c>
      <c r="Q68" s="33">
        <f>SUM(D68:P68)</f>
        <v/>
      </c>
    </row>
    <row r="69">
      <c r="A69" s="5" t="inlineStr">
        <is>
          <t>P0065</t>
        </is>
      </c>
      <c r="B69" s="5" t="inlineStr">
        <is>
          <t>Outdoor Item 065</t>
        </is>
      </c>
      <c r="C69" s="5" t="inlineStr">
        <is>
          <t>B</t>
        </is>
      </c>
      <c r="D69" s="25" t="n">
        <v>17.6</v>
      </c>
      <c r="E69" s="25" t="n">
        <v>17.5</v>
      </c>
      <c r="F69" s="25" t="n">
        <v>17.6</v>
      </c>
      <c r="G69" s="25" t="n">
        <v>20.2</v>
      </c>
      <c r="H69" s="25" t="n">
        <v>18.2</v>
      </c>
      <c r="I69" s="25" t="n">
        <v>22.1</v>
      </c>
      <c r="J69" s="25" t="n">
        <v>18.7</v>
      </c>
      <c r="K69" s="25" t="n">
        <v>20.6</v>
      </c>
      <c r="L69" s="25" t="n">
        <v>18.2</v>
      </c>
      <c r="M69" s="25" t="n">
        <v>30.6</v>
      </c>
      <c r="N69" s="25" t="n">
        <v>31.4</v>
      </c>
      <c r="O69" s="25" t="n">
        <v>33.2</v>
      </c>
      <c r="P69" s="25" t="n">
        <v>27.7</v>
      </c>
      <c r="Q69" s="33">
        <f>SUM(D69:P69)</f>
        <v/>
      </c>
    </row>
    <row r="70">
      <c r="A70" s="5" t="inlineStr">
        <is>
          <t>P0066</t>
        </is>
      </c>
      <c r="B70" s="5" t="inlineStr">
        <is>
          <t>Outdoor Item 066</t>
        </is>
      </c>
      <c r="C70" s="5" t="inlineStr">
        <is>
          <t>A</t>
        </is>
      </c>
      <c r="D70" s="25" t="n">
        <v>34.6</v>
      </c>
      <c r="E70" s="25" t="n">
        <v>32</v>
      </c>
      <c r="F70" s="25" t="n">
        <v>35</v>
      </c>
      <c r="G70" s="25" t="n">
        <v>32.2</v>
      </c>
      <c r="H70" s="25" t="n">
        <v>33.2</v>
      </c>
      <c r="I70" s="25" t="n">
        <v>32.7</v>
      </c>
      <c r="J70" s="25" t="n">
        <v>33.1</v>
      </c>
      <c r="K70" s="25" t="n">
        <v>33.1</v>
      </c>
      <c r="L70" s="25" t="n">
        <v>40.1</v>
      </c>
      <c r="M70" s="25" t="n">
        <v>48.7</v>
      </c>
      <c r="N70" s="25" t="n">
        <v>44.1</v>
      </c>
      <c r="O70" s="25" t="n">
        <v>55.9</v>
      </c>
      <c r="P70" s="25" t="n">
        <v>55.7</v>
      </c>
      <c r="Q70" s="33">
        <f>SUM(D70:P70)</f>
        <v/>
      </c>
    </row>
    <row r="71">
      <c r="A71" s="5" t="inlineStr">
        <is>
          <t>P0067</t>
        </is>
      </c>
      <c r="B71" s="5" t="inlineStr">
        <is>
          <t>Outdoor Item 067</t>
        </is>
      </c>
      <c r="C71" s="5" t="inlineStr">
        <is>
          <t>A</t>
        </is>
      </c>
      <c r="D71" s="25" t="n">
        <v>150.1</v>
      </c>
      <c r="E71" s="25" t="n">
        <v>154.9</v>
      </c>
      <c r="F71" s="25" t="n">
        <v>167.1</v>
      </c>
      <c r="G71" s="25" t="n">
        <v>161.3</v>
      </c>
      <c r="H71" s="25" t="n">
        <v>150.3</v>
      </c>
      <c r="I71" s="25" t="n">
        <v>169</v>
      </c>
      <c r="J71" s="25" t="n">
        <v>148.3</v>
      </c>
      <c r="K71" s="25" t="n">
        <v>171.1</v>
      </c>
      <c r="L71" s="25" t="n">
        <v>175.3</v>
      </c>
      <c r="M71" s="25" t="n">
        <v>280.2</v>
      </c>
      <c r="N71" s="25" t="n">
        <v>288.4</v>
      </c>
      <c r="O71" s="25" t="n">
        <v>296.8</v>
      </c>
      <c r="P71" s="25" t="n">
        <v>317.3</v>
      </c>
      <c r="Q71" s="33">
        <f>SUM(D71:P71)</f>
        <v/>
      </c>
    </row>
    <row r="72">
      <c r="A72" s="5" t="inlineStr">
        <is>
          <t>P0068</t>
        </is>
      </c>
      <c r="B72" s="5" t="inlineStr">
        <is>
          <t>Outdoor Item 068</t>
        </is>
      </c>
      <c r="C72" s="5" t="inlineStr">
        <is>
          <t>C</t>
        </is>
      </c>
      <c r="D72" s="25" t="n">
        <v>1.6</v>
      </c>
      <c r="E72" s="25" t="n">
        <v>2.9</v>
      </c>
      <c r="F72" s="25" t="n">
        <v>1.4</v>
      </c>
      <c r="G72" s="25" t="n">
        <v>3.4</v>
      </c>
      <c r="H72" s="25" t="n">
        <v>1.7</v>
      </c>
      <c r="I72" s="25" t="n">
        <v>3.5</v>
      </c>
      <c r="J72" s="25" t="n">
        <v>1.4</v>
      </c>
      <c r="K72" s="25" t="n">
        <v>3</v>
      </c>
      <c r="L72" s="25" t="n">
        <v>1.7</v>
      </c>
      <c r="M72" s="25" t="n">
        <v>6.2</v>
      </c>
      <c r="N72" s="25" t="n">
        <v>3.6</v>
      </c>
      <c r="O72" s="25" t="n">
        <v>5.9</v>
      </c>
      <c r="P72" s="25" t="n">
        <v>1.7</v>
      </c>
      <c r="Q72" s="33">
        <f>SUM(D72:P72)</f>
        <v/>
      </c>
    </row>
    <row r="73">
      <c r="A73" s="5" t="inlineStr">
        <is>
          <t>P0069</t>
        </is>
      </c>
      <c r="B73" s="5" t="inlineStr">
        <is>
          <t>Outdoor Item 069</t>
        </is>
      </c>
      <c r="C73" s="5" t="inlineStr">
        <is>
          <t>A</t>
        </is>
      </c>
      <c r="D73" s="25" t="n">
        <v>8.4</v>
      </c>
      <c r="E73" s="25" t="n">
        <v>7.9</v>
      </c>
      <c r="F73" s="25" t="n">
        <v>8.699999999999999</v>
      </c>
      <c r="G73" s="25" t="n">
        <v>6.8</v>
      </c>
      <c r="H73" s="25" t="n">
        <v>9.800000000000001</v>
      </c>
      <c r="I73" s="25" t="n">
        <v>8.699999999999999</v>
      </c>
      <c r="J73" s="25" t="n">
        <v>8.699999999999999</v>
      </c>
      <c r="K73" s="25" t="n">
        <v>8.5</v>
      </c>
      <c r="L73" s="25" t="n">
        <v>11.1</v>
      </c>
      <c r="M73" s="25" t="n">
        <v>14.4</v>
      </c>
      <c r="N73" s="25" t="n">
        <v>14.8</v>
      </c>
      <c r="O73" s="25" t="n">
        <v>16.4</v>
      </c>
      <c r="P73" s="25" t="n">
        <v>11.5</v>
      </c>
      <c r="Q73" s="33">
        <f>SUM(D73:P73)</f>
        <v/>
      </c>
    </row>
    <row r="74">
      <c r="A74" s="5" t="inlineStr">
        <is>
          <t>P0070</t>
        </is>
      </c>
      <c r="B74" s="5" t="inlineStr">
        <is>
          <t>Outdoor Item 070</t>
        </is>
      </c>
      <c r="C74" s="5" t="inlineStr">
        <is>
          <t>A</t>
        </is>
      </c>
      <c r="D74" s="25" t="n">
        <v>44.5</v>
      </c>
      <c r="E74" s="25" t="n">
        <v>45.6</v>
      </c>
      <c r="F74" s="25" t="n">
        <v>44.7</v>
      </c>
      <c r="G74" s="25" t="n">
        <v>38.3</v>
      </c>
      <c r="H74" s="25" t="n">
        <v>40.5</v>
      </c>
      <c r="I74" s="25" t="n">
        <v>38.9</v>
      </c>
      <c r="J74" s="25" t="n">
        <v>38.7</v>
      </c>
      <c r="K74" s="25" t="n">
        <v>40.4</v>
      </c>
      <c r="L74" s="25" t="n">
        <v>40.5</v>
      </c>
      <c r="M74" s="25" t="n">
        <v>58.2</v>
      </c>
      <c r="N74" s="25" t="n">
        <v>53.9</v>
      </c>
      <c r="O74" s="25" t="n">
        <v>59.8</v>
      </c>
      <c r="P74" s="25" t="n">
        <v>57</v>
      </c>
      <c r="Q74" s="33">
        <f>SUM(D74:P74)</f>
        <v/>
      </c>
    </row>
    <row r="75">
      <c r="A75" s="5" t="inlineStr">
        <is>
          <t>P0071</t>
        </is>
      </c>
      <c r="B75" s="5" t="inlineStr">
        <is>
          <t>Outdoor Item 071</t>
        </is>
      </c>
      <c r="C75" s="5" t="inlineStr">
        <is>
          <t>C</t>
        </is>
      </c>
      <c r="D75" s="25" t="n">
        <v>6.4</v>
      </c>
      <c r="E75" s="25" t="n">
        <v>5.3</v>
      </c>
      <c r="F75" s="25" t="n">
        <v>4.9</v>
      </c>
      <c r="G75" s="25" t="n">
        <v>5.5</v>
      </c>
      <c r="H75" s="25" t="n">
        <v>5.6</v>
      </c>
      <c r="I75" s="25" t="n">
        <v>5</v>
      </c>
      <c r="J75" s="25" t="n">
        <v>5.7</v>
      </c>
      <c r="K75" s="25" t="n">
        <v>5</v>
      </c>
      <c r="L75" s="25" t="n">
        <v>5.8</v>
      </c>
      <c r="M75" s="25" t="n">
        <v>9</v>
      </c>
      <c r="N75" s="25" t="n">
        <v>6.4</v>
      </c>
      <c r="O75" s="25" t="n">
        <v>9.6</v>
      </c>
      <c r="P75" s="25" t="n">
        <v>10.6</v>
      </c>
      <c r="Q75" s="33">
        <f>SUM(D75:P75)</f>
        <v/>
      </c>
    </row>
    <row r="76">
      <c r="A76" s="5" t="inlineStr">
        <is>
          <t>P0072</t>
        </is>
      </c>
      <c r="B76" s="5" t="inlineStr">
        <is>
          <t>Outdoor Item 072</t>
        </is>
      </c>
      <c r="C76" s="5" t="inlineStr">
        <is>
          <t>B</t>
        </is>
      </c>
      <c r="D76" s="25" t="n">
        <v>8.5</v>
      </c>
      <c r="E76" s="25" t="n">
        <v>4.1</v>
      </c>
      <c r="F76" s="25" t="n">
        <v>5.3</v>
      </c>
      <c r="G76" s="25" t="n">
        <v>3.1</v>
      </c>
      <c r="H76" s="25" t="n">
        <v>9.6</v>
      </c>
      <c r="I76" s="25" t="n">
        <v>7.4</v>
      </c>
      <c r="J76" s="25" t="n">
        <v>4.3</v>
      </c>
      <c r="K76" s="25" t="n">
        <v>9.1</v>
      </c>
      <c r="L76" s="25" t="n">
        <v>4.2</v>
      </c>
      <c r="M76" s="25" t="n">
        <v>10.9</v>
      </c>
      <c r="N76" s="25" t="n">
        <v>4.5</v>
      </c>
      <c r="O76" s="25" t="n">
        <v>9.9</v>
      </c>
      <c r="P76" s="25" t="n">
        <v>4.6</v>
      </c>
      <c r="Q76" s="33">
        <f>SUM(D76:P76)</f>
        <v/>
      </c>
    </row>
    <row r="77">
      <c r="A77" s="5" t="inlineStr">
        <is>
          <t>P0073</t>
        </is>
      </c>
      <c r="B77" s="5" t="inlineStr">
        <is>
          <t>Outdoor Item 073</t>
        </is>
      </c>
      <c r="C77" s="5" t="inlineStr">
        <is>
          <t>A</t>
        </is>
      </c>
      <c r="D77" s="25" t="n">
        <v>52.1</v>
      </c>
      <c r="E77" s="25" t="n">
        <v>58.1</v>
      </c>
      <c r="F77" s="25" t="n">
        <v>62.1</v>
      </c>
      <c r="G77" s="25" t="n">
        <v>55.1</v>
      </c>
      <c r="H77" s="25" t="n">
        <v>65.2</v>
      </c>
      <c r="I77" s="25" t="n">
        <v>74.5</v>
      </c>
      <c r="J77" s="25" t="n">
        <v>65</v>
      </c>
      <c r="K77" s="25" t="n">
        <v>65.3</v>
      </c>
      <c r="L77" s="25" t="n">
        <v>92.2</v>
      </c>
      <c r="M77" s="25" t="n">
        <v>128</v>
      </c>
      <c r="N77" s="25" t="n">
        <v>98.3</v>
      </c>
      <c r="O77" s="25" t="n">
        <v>92.3</v>
      </c>
      <c r="P77" s="25" t="n">
        <v>102.5</v>
      </c>
      <c r="Q77" s="33">
        <f>SUM(D77:P77)</f>
        <v/>
      </c>
    </row>
    <row r="78">
      <c r="A78" s="5" t="inlineStr">
        <is>
          <t>P0074</t>
        </is>
      </c>
      <c r="B78" s="5" t="inlineStr">
        <is>
          <t>Outdoor Item 074</t>
        </is>
      </c>
      <c r="C78" s="5" t="inlineStr">
        <is>
          <t>C</t>
        </is>
      </c>
      <c r="D78" s="25" t="n">
        <v>1.6</v>
      </c>
      <c r="E78" s="25" t="n">
        <v>1.6</v>
      </c>
      <c r="F78" s="25" t="n">
        <v>1.1</v>
      </c>
      <c r="G78" s="25" t="n">
        <v>1.8</v>
      </c>
      <c r="H78" s="25" t="n">
        <v>1.6</v>
      </c>
      <c r="I78" s="25" t="n">
        <v>1.6</v>
      </c>
      <c r="J78" s="25" t="n">
        <v>1.7</v>
      </c>
      <c r="K78" s="25" t="n">
        <v>1.7</v>
      </c>
      <c r="L78" s="25" t="n">
        <v>1.8</v>
      </c>
      <c r="M78" s="25" t="n">
        <v>2.1</v>
      </c>
      <c r="N78" s="25" t="n">
        <v>1.8</v>
      </c>
      <c r="O78" s="25" t="n">
        <v>2.1</v>
      </c>
      <c r="P78" s="25" t="n">
        <v>1.4</v>
      </c>
      <c r="Q78" s="33">
        <f>SUM(D78:P78)</f>
        <v/>
      </c>
    </row>
    <row r="79">
      <c r="A79" s="5" t="inlineStr">
        <is>
          <t>P0075</t>
        </is>
      </c>
      <c r="B79" s="5" t="inlineStr">
        <is>
          <t>Outdoor Item 075</t>
        </is>
      </c>
      <c r="C79" s="5" t="inlineStr">
        <is>
          <t>B</t>
        </is>
      </c>
      <c r="D79" s="25" t="n">
        <v>3.7</v>
      </c>
      <c r="E79" s="25" t="n">
        <v>3</v>
      </c>
      <c r="F79" s="25" t="n">
        <v>2</v>
      </c>
      <c r="G79" s="25" t="n">
        <v>3</v>
      </c>
      <c r="H79" s="25" t="n">
        <v>1.5</v>
      </c>
      <c r="I79" s="25" t="n">
        <v>3.1</v>
      </c>
      <c r="J79" s="25" t="n">
        <v>1.5</v>
      </c>
      <c r="K79" s="25" t="n">
        <v>4</v>
      </c>
      <c r="L79" s="25" t="n">
        <v>4</v>
      </c>
      <c r="M79" s="25" t="n">
        <v>6.7</v>
      </c>
      <c r="N79" s="25" t="n">
        <v>4.8</v>
      </c>
      <c r="O79" s="25" t="n">
        <v>4.7</v>
      </c>
      <c r="P79" s="25" t="n">
        <v>3.7</v>
      </c>
      <c r="Q79" s="33">
        <f>SUM(D79:P79)</f>
        <v/>
      </c>
    </row>
    <row r="80">
      <c r="A80" s="5" t="inlineStr">
        <is>
          <t>P0076</t>
        </is>
      </c>
      <c r="B80" s="5" t="inlineStr">
        <is>
          <t>Outdoor Item 076</t>
        </is>
      </c>
      <c r="C80" s="5" t="inlineStr">
        <is>
          <t>C</t>
        </is>
      </c>
      <c r="D80" s="25" t="n">
        <v>6.3</v>
      </c>
      <c r="E80" s="25" t="n">
        <v>8.699999999999999</v>
      </c>
      <c r="F80" s="25" t="n">
        <v>7</v>
      </c>
      <c r="G80" s="25" t="n">
        <v>6.8</v>
      </c>
      <c r="H80" s="25" t="n">
        <v>7.2</v>
      </c>
      <c r="I80" s="25" t="n">
        <v>6.8</v>
      </c>
      <c r="J80" s="25" t="n">
        <v>5.4</v>
      </c>
      <c r="K80" s="25" t="n">
        <v>8.5</v>
      </c>
      <c r="L80" s="25" t="n">
        <v>5.4</v>
      </c>
      <c r="M80" s="25" t="n">
        <v>9.9</v>
      </c>
      <c r="N80" s="25" t="n">
        <v>12.9</v>
      </c>
      <c r="O80" s="25" t="n">
        <v>12.6</v>
      </c>
      <c r="P80" s="25" t="n">
        <v>12</v>
      </c>
      <c r="Q80" s="33">
        <f>SUM(D80:P80)</f>
        <v/>
      </c>
    </row>
    <row r="81">
      <c r="A81" s="5" t="inlineStr">
        <is>
          <t>P0077</t>
        </is>
      </c>
      <c r="B81" s="5" t="inlineStr">
        <is>
          <t>Outdoor Item 077</t>
        </is>
      </c>
      <c r="C81" s="5" t="inlineStr">
        <is>
          <t>C</t>
        </is>
      </c>
      <c r="D81" s="25" t="n">
        <v>4.4</v>
      </c>
      <c r="E81" s="25" t="n">
        <v>3.6</v>
      </c>
      <c r="F81" s="25" t="n">
        <v>2.5</v>
      </c>
      <c r="G81" s="25" t="n">
        <v>3.6</v>
      </c>
      <c r="H81" s="25" t="n">
        <v>1.7</v>
      </c>
      <c r="I81" s="25" t="n">
        <v>4.5</v>
      </c>
      <c r="J81" s="25" t="n">
        <v>2.5</v>
      </c>
      <c r="K81" s="25" t="n">
        <v>1.7</v>
      </c>
      <c r="L81" s="25" t="n">
        <v>6.4</v>
      </c>
      <c r="M81" s="25" t="n">
        <v>4.7</v>
      </c>
      <c r="N81" s="25" t="n">
        <v>4.1</v>
      </c>
      <c r="O81" s="25" t="n">
        <v>2</v>
      </c>
      <c r="P81" s="25" t="n">
        <v>4.1</v>
      </c>
      <c r="Q81" s="33">
        <f>SUM(D81:P81)</f>
        <v/>
      </c>
    </row>
    <row r="82">
      <c r="A82" s="5" t="inlineStr">
        <is>
          <t>P0078</t>
        </is>
      </c>
      <c r="B82" s="5" t="inlineStr">
        <is>
          <t>Outdoor Item 078</t>
        </is>
      </c>
      <c r="C82" s="5" t="inlineStr">
        <is>
          <t>C</t>
        </is>
      </c>
      <c r="D82" s="25" t="n">
        <v>4</v>
      </c>
      <c r="E82" s="25" t="n">
        <v>4.6</v>
      </c>
      <c r="F82" s="25" t="n">
        <v>4.7</v>
      </c>
      <c r="G82" s="25" t="n">
        <v>5.4</v>
      </c>
      <c r="H82" s="25" t="n">
        <v>6</v>
      </c>
      <c r="I82" s="25" t="n">
        <v>5.6</v>
      </c>
      <c r="J82" s="25" t="n">
        <v>5.6</v>
      </c>
      <c r="K82" s="25" t="n">
        <v>4.8</v>
      </c>
      <c r="L82" s="25" t="n">
        <v>6.2</v>
      </c>
      <c r="M82" s="25" t="n">
        <v>6.8</v>
      </c>
      <c r="N82" s="25" t="n">
        <v>10.3</v>
      </c>
      <c r="O82" s="25" t="n">
        <v>7.6</v>
      </c>
      <c r="P82" s="25" t="n">
        <v>8.5</v>
      </c>
      <c r="Q82" s="33">
        <f>SUM(D82:P82)</f>
        <v/>
      </c>
    </row>
    <row r="83">
      <c r="A83" s="5" t="inlineStr">
        <is>
          <t>P0079</t>
        </is>
      </c>
      <c r="B83" s="5" t="inlineStr">
        <is>
          <t>Outdoor Item 079</t>
        </is>
      </c>
      <c r="C83" s="5" t="inlineStr">
        <is>
          <t>C</t>
        </is>
      </c>
      <c r="D83" s="25" t="n">
        <v>2.8</v>
      </c>
      <c r="E83" s="25" t="n">
        <v>4.7</v>
      </c>
      <c r="F83" s="25" t="n">
        <v>3.8</v>
      </c>
      <c r="G83" s="25" t="n">
        <v>4.4</v>
      </c>
      <c r="H83" s="25" t="n">
        <v>6.7</v>
      </c>
      <c r="I83" s="25" t="n">
        <v>6.8</v>
      </c>
      <c r="J83" s="25" t="n">
        <v>2</v>
      </c>
      <c r="K83" s="25" t="n">
        <v>7.6</v>
      </c>
      <c r="L83" s="25" t="n">
        <v>6.1</v>
      </c>
      <c r="M83" s="25" t="n">
        <v>4.4</v>
      </c>
      <c r="N83" s="25" t="n">
        <v>9</v>
      </c>
      <c r="O83" s="25" t="n">
        <v>8.9</v>
      </c>
      <c r="P83" s="25" t="n">
        <v>5.8</v>
      </c>
      <c r="Q83" s="33">
        <f>SUM(D83:P83)</f>
        <v/>
      </c>
    </row>
    <row r="84">
      <c r="A84" s="5" t="inlineStr">
        <is>
          <t>P0080</t>
        </is>
      </c>
      <c r="B84" s="5" t="inlineStr">
        <is>
          <t>Outdoor Item 080</t>
        </is>
      </c>
      <c r="C84" s="5" t="inlineStr">
        <is>
          <t>B</t>
        </is>
      </c>
      <c r="D84" s="25" t="n">
        <v>2</v>
      </c>
      <c r="E84" s="25" t="n">
        <v>2</v>
      </c>
      <c r="F84" s="25" t="n">
        <v>1.9</v>
      </c>
      <c r="G84" s="25" t="n">
        <v>1.9</v>
      </c>
      <c r="H84" s="25" t="n">
        <v>1.9</v>
      </c>
      <c r="I84" s="25" t="n">
        <v>2.1</v>
      </c>
      <c r="J84" s="25" t="n">
        <v>2.1</v>
      </c>
      <c r="K84" s="25" t="n">
        <v>2.1</v>
      </c>
      <c r="L84" s="25" t="n">
        <v>4.6</v>
      </c>
      <c r="M84" s="25" t="n">
        <v>6.4</v>
      </c>
      <c r="N84" s="25" t="n">
        <v>5.5</v>
      </c>
      <c r="O84" s="25" t="n">
        <v>8.4</v>
      </c>
      <c r="P84" s="25" t="n">
        <v>4.6</v>
      </c>
      <c r="Q84" s="33">
        <f>SUM(D84:P84)</f>
        <v/>
      </c>
    </row>
    <row r="85">
      <c r="A85" s="5" t="inlineStr">
        <is>
          <t>P0081</t>
        </is>
      </c>
      <c r="B85" s="5" t="inlineStr">
        <is>
          <t>Office Item 081</t>
        </is>
      </c>
      <c r="C85" s="5" t="inlineStr">
        <is>
          <t>C</t>
        </is>
      </c>
      <c r="D85" s="25" t="n">
        <v>6.5</v>
      </c>
      <c r="E85" s="25" t="n">
        <v>10.6</v>
      </c>
      <c r="F85" s="25" t="n">
        <v>6.9</v>
      </c>
      <c r="G85" s="25" t="n">
        <v>10.6</v>
      </c>
      <c r="H85" s="25" t="n">
        <v>9.9</v>
      </c>
      <c r="I85" s="25" t="n">
        <v>9.9</v>
      </c>
      <c r="J85" s="25" t="n">
        <v>7.8</v>
      </c>
      <c r="K85" s="25" t="n">
        <v>10.6</v>
      </c>
      <c r="L85" s="25" t="n">
        <v>8.5</v>
      </c>
      <c r="M85" s="25" t="n">
        <v>7.1</v>
      </c>
      <c r="N85" s="25" t="n">
        <v>9.4</v>
      </c>
      <c r="O85" s="25" t="n">
        <v>2.1</v>
      </c>
      <c r="P85" s="25" t="n">
        <v>9.300000000000001</v>
      </c>
      <c r="Q85" s="33">
        <f>SUM(D85:P85)</f>
        <v/>
      </c>
    </row>
    <row r="86">
      <c r="A86" s="5" t="inlineStr">
        <is>
          <t>P0082</t>
        </is>
      </c>
      <c r="B86" s="5" t="inlineStr">
        <is>
          <t>Office Item 082</t>
        </is>
      </c>
      <c r="C86" s="5" t="inlineStr">
        <is>
          <t>C</t>
        </is>
      </c>
      <c r="D86" s="25" t="n">
        <v>51.5</v>
      </c>
      <c r="E86" s="25" t="n">
        <v>46.7</v>
      </c>
      <c r="F86" s="25" t="n">
        <v>50.4</v>
      </c>
      <c r="G86" s="25" t="n">
        <v>48.9</v>
      </c>
      <c r="H86" s="25" t="n">
        <v>45.2</v>
      </c>
      <c r="I86" s="25" t="n">
        <v>41</v>
      </c>
      <c r="J86" s="25" t="n">
        <v>46.3</v>
      </c>
      <c r="K86" s="25" t="n">
        <v>36.8</v>
      </c>
      <c r="L86" s="25" t="n">
        <v>40</v>
      </c>
      <c r="M86" s="25" t="n">
        <v>45.1</v>
      </c>
      <c r="N86" s="25" t="n">
        <v>37.9</v>
      </c>
      <c r="O86" s="25" t="n">
        <v>46.1</v>
      </c>
      <c r="P86" s="25" t="n">
        <v>48.1</v>
      </c>
      <c r="Q86" s="33">
        <f>SUM(D86:P86)</f>
        <v/>
      </c>
    </row>
    <row r="87">
      <c r="A87" s="5" t="inlineStr">
        <is>
          <t>P0083</t>
        </is>
      </c>
      <c r="B87" s="5" t="inlineStr">
        <is>
          <t>Office Item 083</t>
        </is>
      </c>
      <c r="C87" s="5" t="inlineStr">
        <is>
          <t>C</t>
        </is>
      </c>
      <c r="D87" s="25" t="n">
        <v>2.5</v>
      </c>
      <c r="E87" s="25" t="n">
        <v>2.5</v>
      </c>
      <c r="F87" s="25" t="n">
        <v>3.9</v>
      </c>
      <c r="G87" s="25" t="n">
        <v>3.3</v>
      </c>
      <c r="H87" s="25" t="n">
        <v>1.9</v>
      </c>
      <c r="I87" s="25" t="n">
        <v>2.5</v>
      </c>
      <c r="J87" s="25" t="n">
        <v>1.9</v>
      </c>
      <c r="K87" s="25" t="n">
        <v>1.9</v>
      </c>
      <c r="L87" s="25" t="n">
        <v>1.4</v>
      </c>
      <c r="M87" s="25" t="n">
        <v>1.6</v>
      </c>
      <c r="N87" s="25" t="n">
        <v>1.4</v>
      </c>
      <c r="O87" s="25" t="n">
        <v>4.1</v>
      </c>
      <c r="P87" s="25" t="n">
        <v>2.7</v>
      </c>
      <c r="Q87" s="33">
        <f>SUM(D87:P87)</f>
        <v/>
      </c>
    </row>
    <row r="88">
      <c r="A88" s="5" t="inlineStr">
        <is>
          <t>P0084</t>
        </is>
      </c>
      <c r="B88" s="5" t="inlineStr">
        <is>
          <t>Office Item 084</t>
        </is>
      </c>
      <c r="C88" s="5" t="inlineStr">
        <is>
          <t>C</t>
        </is>
      </c>
      <c r="D88" s="25" t="n">
        <v>23.6</v>
      </c>
      <c r="E88" s="25" t="n">
        <v>28.4</v>
      </c>
      <c r="F88" s="25" t="n">
        <v>26.2</v>
      </c>
      <c r="G88" s="25" t="n">
        <v>30.2</v>
      </c>
      <c r="H88" s="25" t="n">
        <v>28.3</v>
      </c>
      <c r="I88" s="25" t="n">
        <v>31.1</v>
      </c>
      <c r="J88" s="25" t="n">
        <v>27</v>
      </c>
      <c r="K88" s="25" t="n">
        <v>25</v>
      </c>
      <c r="L88" s="25" t="n">
        <v>23.9</v>
      </c>
      <c r="M88" s="25" t="n">
        <v>26.1</v>
      </c>
      <c r="N88" s="25" t="n">
        <v>20.2</v>
      </c>
      <c r="O88" s="25" t="n">
        <v>24.6</v>
      </c>
      <c r="P88" s="25" t="n">
        <v>26.2</v>
      </c>
      <c r="Q88" s="33">
        <f>SUM(D88:P88)</f>
        <v/>
      </c>
    </row>
    <row r="89">
      <c r="A89" s="5" t="inlineStr">
        <is>
          <t>P0085</t>
        </is>
      </c>
      <c r="B89" s="5" t="inlineStr">
        <is>
          <t>Office Item 085</t>
        </is>
      </c>
      <c r="C89" s="5" t="inlineStr">
        <is>
          <t>A</t>
        </is>
      </c>
      <c r="D89" s="25" t="n">
        <v>34.9</v>
      </c>
      <c r="E89" s="25" t="n">
        <v>41.6</v>
      </c>
      <c r="F89" s="25" t="n">
        <v>37.1</v>
      </c>
      <c r="G89" s="25" t="n">
        <v>38.3</v>
      </c>
      <c r="H89" s="25" t="n">
        <v>36.5</v>
      </c>
      <c r="I89" s="25" t="n">
        <v>30.2</v>
      </c>
      <c r="J89" s="25" t="n">
        <v>35.8</v>
      </c>
      <c r="K89" s="25" t="n">
        <v>39.5</v>
      </c>
      <c r="L89" s="25" t="n">
        <v>27.5</v>
      </c>
      <c r="M89" s="25" t="n">
        <v>36.2</v>
      </c>
      <c r="N89" s="25" t="n">
        <v>35.4</v>
      </c>
      <c r="O89" s="25" t="n">
        <v>37.6</v>
      </c>
      <c r="P89" s="25" t="n">
        <v>38.6</v>
      </c>
      <c r="Q89" s="33">
        <f>SUM(D89:P89)</f>
        <v/>
      </c>
    </row>
    <row r="90">
      <c r="A90" s="5" t="inlineStr">
        <is>
          <t>P0086</t>
        </is>
      </c>
      <c r="B90" s="5" t="inlineStr">
        <is>
          <t>Office Item 086</t>
        </is>
      </c>
      <c r="C90" s="5" t="inlineStr">
        <is>
          <t>B</t>
        </is>
      </c>
      <c r="D90" s="25" t="n">
        <v>28.2</v>
      </c>
      <c r="E90" s="25" t="n">
        <v>37</v>
      </c>
      <c r="F90" s="25" t="n">
        <v>28.9</v>
      </c>
      <c r="G90" s="25" t="n">
        <v>29.4</v>
      </c>
      <c r="H90" s="25" t="n">
        <v>33.2</v>
      </c>
      <c r="I90" s="25" t="n">
        <v>27.6</v>
      </c>
      <c r="J90" s="25" t="n">
        <v>30.1</v>
      </c>
      <c r="K90" s="25" t="n">
        <v>33.2</v>
      </c>
      <c r="L90" s="25" t="n">
        <v>23.3</v>
      </c>
      <c r="M90" s="25" t="n">
        <v>28.8</v>
      </c>
      <c r="N90" s="25" t="n">
        <v>28</v>
      </c>
      <c r="O90" s="25" t="n">
        <v>25</v>
      </c>
      <c r="P90" s="25" t="n">
        <v>28.4</v>
      </c>
      <c r="Q90" s="33">
        <f>SUM(D90:P90)</f>
        <v/>
      </c>
    </row>
    <row r="91">
      <c r="A91" s="5" t="inlineStr">
        <is>
          <t>P0087</t>
        </is>
      </c>
      <c r="B91" s="5" t="inlineStr">
        <is>
          <t>Office Item 087</t>
        </is>
      </c>
      <c r="C91" s="5" t="inlineStr">
        <is>
          <t>C</t>
        </is>
      </c>
      <c r="D91" s="25" t="n">
        <v>19</v>
      </c>
      <c r="E91" s="25" t="n">
        <v>15.4</v>
      </c>
      <c r="F91" s="25" t="n">
        <v>17.5</v>
      </c>
      <c r="G91" s="25" t="n">
        <v>18.3</v>
      </c>
      <c r="H91" s="25" t="n">
        <v>16.5</v>
      </c>
      <c r="I91" s="25" t="n">
        <v>13.3</v>
      </c>
      <c r="J91" s="25" t="n">
        <v>16.8</v>
      </c>
      <c r="K91" s="25" t="n">
        <v>13.8</v>
      </c>
      <c r="L91" s="25" t="n">
        <v>15.3</v>
      </c>
      <c r="M91" s="25" t="n">
        <v>12.7</v>
      </c>
      <c r="N91" s="25" t="n">
        <v>15</v>
      </c>
      <c r="O91" s="25" t="n">
        <v>15.2</v>
      </c>
      <c r="P91" s="25" t="n">
        <v>13.1</v>
      </c>
      <c r="Q91" s="33">
        <f>SUM(D91:P91)</f>
        <v/>
      </c>
    </row>
    <row r="92">
      <c r="A92" s="5" t="inlineStr">
        <is>
          <t>P0088</t>
        </is>
      </c>
      <c r="B92" s="5" t="inlineStr">
        <is>
          <t>Office Item 088</t>
        </is>
      </c>
      <c r="C92" s="5" t="inlineStr">
        <is>
          <t>C</t>
        </is>
      </c>
      <c r="D92" s="25" t="n">
        <v>7.6</v>
      </c>
      <c r="E92" s="25" t="n">
        <v>4.9</v>
      </c>
      <c r="F92" s="25" t="n">
        <v>6.9</v>
      </c>
      <c r="G92" s="25" t="n">
        <v>9.9</v>
      </c>
      <c r="H92" s="25" t="n">
        <v>6.9</v>
      </c>
      <c r="I92" s="25" t="n">
        <v>11.2</v>
      </c>
      <c r="J92" s="25" t="n">
        <v>8.199999999999999</v>
      </c>
      <c r="K92" s="25" t="n">
        <v>6.6</v>
      </c>
      <c r="L92" s="25" t="n">
        <v>5.8</v>
      </c>
      <c r="M92" s="25" t="n">
        <v>5.3</v>
      </c>
      <c r="N92" s="25" t="n">
        <v>7</v>
      </c>
      <c r="O92" s="25" t="n">
        <v>5.2</v>
      </c>
      <c r="P92" s="25" t="n">
        <v>5.2</v>
      </c>
      <c r="Q92" s="33">
        <f>SUM(D92:P92)</f>
        <v/>
      </c>
    </row>
    <row r="93">
      <c r="A93" s="5" t="inlineStr">
        <is>
          <t>P0089</t>
        </is>
      </c>
      <c r="B93" s="5" t="inlineStr">
        <is>
          <t>Office Item 089</t>
        </is>
      </c>
      <c r="C93" s="5" t="inlineStr">
        <is>
          <t>C</t>
        </is>
      </c>
      <c r="D93" s="25" t="n">
        <v>4.5</v>
      </c>
      <c r="E93" s="25" t="n">
        <v>4.5</v>
      </c>
      <c r="F93" s="25" t="n">
        <v>5.1</v>
      </c>
      <c r="G93" s="25" t="n">
        <v>2.2</v>
      </c>
      <c r="H93" s="25" t="n">
        <v>5.4</v>
      </c>
      <c r="I93" s="25" t="n">
        <v>6.2</v>
      </c>
      <c r="J93" s="25" t="n">
        <v>2.9</v>
      </c>
      <c r="K93" s="25" t="n">
        <v>1.8</v>
      </c>
      <c r="L93" s="25" t="n">
        <v>2.9</v>
      </c>
      <c r="M93" s="25" t="n">
        <v>2.1</v>
      </c>
      <c r="N93" s="25" t="n">
        <v>2.7</v>
      </c>
      <c r="O93" s="25" t="n">
        <v>4.9</v>
      </c>
      <c r="P93" s="25" t="n">
        <v>4.4</v>
      </c>
      <c r="Q93" s="33">
        <f>SUM(D93:P93)</f>
        <v/>
      </c>
    </row>
    <row r="94">
      <c r="A94" s="5" t="inlineStr">
        <is>
          <t>P0090</t>
        </is>
      </c>
      <c r="B94" s="5" t="inlineStr">
        <is>
          <t>Office Item 090</t>
        </is>
      </c>
      <c r="C94" s="5" t="inlineStr">
        <is>
          <t>C</t>
        </is>
      </c>
      <c r="D94" s="25" t="n">
        <v>11.4</v>
      </c>
      <c r="E94" s="25" t="n">
        <v>12.8</v>
      </c>
      <c r="F94" s="25" t="n">
        <v>10.2</v>
      </c>
      <c r="G94" s="25" t="n">
        <v>11.4</v>
      </c>
      <c r="H94" s="25" t="n">
        <v>13.8</v>
      </c>
      <c r="I94" s="25" t="n">
        <v>12.5</v>
      </c>
      <c r="J94" s="25" t="n">
        <v>14.2</v>
      </c>
      <c r="K94" s="25" t="n">
        <v>11.4</v>
      </c>
      <c r="L94" s="25" t="n">
        <v>9.1</v>
      </c>
      <c r="M94" s="25" t="n">
        <v>11.4</v>
      </c>
      <c r="N94" s="25" t="n">
        <v>11.5</v>
      </c>
      <c r="O94" s="25" t="n">
        <v>10.6</v>
      </c>
      <c r="P94" s="25" t="n">
        <v>10.5</v>
      </c>
      <c r="Q94" s="33">
        <f>SUM(D94:P94)</f>
        <v/>
      </c>
    </row>
    <row r="95">
      <c r="A95" s="5" t="inlineStr">
        <is>
          <t>P0091</t>
        </is>
      </c>
      <c r="B95" s="5" t="inlineStr">
        <is>
          <t>Office Item 091</t>
        </is>
      </c>
      <c r="C95" s="5" t="inlineStr">
        <is>
          <t>B</t>
        </is>
      </c>
      <c r="D95" s="25" t="n">
        <v>70</v>
      </c>
      <c r="E95" s="25" t="n">
        <v>70</v>
      </c>
      <c r="F95" s="25" t="n">
        <v>71.7</v>
      </c>
      <c r="G95" s="25" t="n">
        <v>78.3</v>
      </c>
      <c r="H95" s="25" t="n">
        <v>67</v>
      </c>
      <c r="I95" s="25" t="n">
        <v>63.1</v>
      </c>
      <c r="J95" s="25" t="n">
        <v>62.5</v>
      </c>
      <c r="K95" s="25" t="n">
        <v>69.3</v>
      </c>
      <c r="L95" s="25" t="n">
        <v>66.2</v>
      </c>
      <c r="M95" s="25" t="n">
        <v>74.7</v>
      </c>
      <c r="N95" s="25" t="n">
        <v>62.3</v>
      </c>
      <c r="O95" s="25" t="n">
        <v>61.4</v>
      </c>
      <c r="P95" s="25" t="n">
        <v>90.7</v>
      </c>
      <c r="Q95" s="33">
        <f>SUM(D95:P95)</f>
        <v/>
      </c>
    </row>
    <row r="96">
      <c r="A96" s="5" t="inlineStr">
        <is>
          <t>P0092</t>
        </is>
      </c>
      <c r="B96" s="5" t="inlineStr">
        <is>
          <t>Office Item 092</t>
        </is>
      </c>
      <c r="C96" s="5" t="inlineStr">
        <is>
          <t>C</t>
        </is>
      </c>
      <c r="D96" s="25" t="n">
        <v>10.9</v>
      </c>
      <c r="E96" s="25" t="n">
        <v>13.7</v>
      </c>
      <c r="F96" s="25" t="n">
        <v>14.4</v>
      </c>
      <c r="G96" s="25" t="n">
        <v>17.4</v>
      </c>
      <c r="H96" s="25" t="n">
        <v>13.8</v>
      </c>
      <c r="I96" s="25" t="n">
        <v>10.8</v>
      </c>
      <c r="J96" s="25" t="n">
        <v>10.8</v>
      </c>
      <c r="K96" s="25" t="n">
        <v>12.3</v>
      </c>
      <c r="L96" s="25" t="n">
        <v>11.7</v>
      </c>
      <c r="M96" s="25" t="n">
        <v>14.7</v>
      </c>
      <c r="N96" s="25" t="n">
        <v>13.5</v>
      </c>
      <c r="O96" s="25" t="n">
        <v>12.4</v>
      </c>
      <c r="P96" s="25" t="n">
        <v>14.5</v>
      </c>
      <c r="Q96" s="33">
        <f>SUM(D96:P96)</f>
        <v/>
      </c>
    </row>
    <row r="97">
      <c r="A97" s="5" t="inlineStr">
        <is>
          <t>P0093</t>
        </is>
      </c>
      <c r="B97" s="5" t="inlineStr">
        <is>
          <t>Office Item 093</t>
        </is>
      </c>
      <c r="C97" s="5" t="inlineStr">
        <is>
          <t>B</t>
        </is>
      </c>
      <c r="D97" s="25" t="n">
        <v>17.6</v>
      </c>
      <c r="E97" s="25" t="n">
        <v>23.9</v>
      </c>
      <c r="F97" s="25" t="n">
        <v>20.1</v>
      </c>
      <c r="G97" s="25" t="n">
        <v>18.5</v>
      </c>
      <c r="H97" s="25" t="n">
        <v>16.5</v>
      </c>
      <c r="I97" s="25" t="n">
        <v>15.1</v>
      </c>
      <c r="J97" s="25" t="n">
        <v>21.7</v>
      </c>
      <c r="K97" s="25" t="n">
        <v>23.2</v>
      </c>
      <c r="L97" s="25" t="n">
        <v>20.8</v>
      </c>
      <c r="M97" s="25" t="n">
        <v>21.7</v>
      </c>
      <c r="N97" s="25" t="n">
        <v>18.9</v>
      </c>
      <c r="O97" s="25" t="n">
        <v>17.2</v>
      </c>
      <c r="P97" s="25" t="n">
        <v>19.3</v>
      </c>
      <c r="Q97" s="33">
        <f>SUM(D97:P97)</f>
        <v/>
      </c>
    </row>
    <row r="98">
      <c r="A98" s="5" t="inlineStr">
        <is>
          <t>P0094</t>
        </is>
      </c>
      <c r="B98" s="5" t="inlineStr">
        <is>
          <t>Office Item 094</t>
        </is>
      </c>
      <c r="C98" s="5" t="inlineStr">
        <is>
          <t>B</t>
        </is>
      </c>
      <c r="D98" s="25" t="n">
        <v>31.5</v>
      </c>
      <c r="E98" s="25" t="n">
        <v>31.5</v>
      </c>
      <c r="F98" s="25" t="n">
        <v>28.9</v>
      </c>
      <c r="G98" s="25" t="n">
        <v>33</v>
      </c>
      <c r="H98" s="25" t="n">
        <v>35.9</v>
      </c>
      <c r="I98" s="25" t="n">
        <v>30.8</v>
      </c>
      <c r="J98" s="25" t="n">
        <v>35.9</v>
      </c>
      <c r="K98" s="25" t="n">
        <v>30</v>
      </c>
      <c r="L98" s="25" t="n">
        <v>26.6</v>
      </c>
      <c r="M98" s="25" t="n">
        <v>28</v>
      </c>
      <c r="N98" s="25" t="n">
        <v>29.4</v>
      </c>
      <c r="O98" s="25" t="n">
        <v>29.5</v>
      </c>
      <c r="P98" s="25" t="n">
        <v>30.1</v>
      </c>
      <c r="Q98" s="33">
        <f>SUM(D98:P98)</f>
        <v/>
      </c>
    </row>
    <row r="99">
      <c r="A99" s="5" t="inlineStr">
        <is>
          <t>P0095</t>
        </is>
      </c>
      <c r="B99" s="5" t="inlineStr">
        <is>
          <t>Office Item 095</t>
        </is>
      </c>
      <c r="C99" s="5" t="inlineStr">
        <is>
          <t>B</t>
        </is>
      </c>
      <c r="D99" s="25" t="n">
        <v>152</v>
      </c>
      <c r="E99" s="25" t="n">
        <v>165.3</v>
      </c>
      <c r="F99" s="25" t="n">
        <v>162.2</v>
      </c>
      <c r="G99" s="25" t="n">
        <v>180</v>
      </c>
      <c r="H99" s="25" t="n">
        <v>140</v>
      </c>
      <c r="I99" s="25" t="n">
        <v>140.1</v>
      </c>
      <c r="J99" s="25" t="n">
        <v>137.2</v>
      </c>
      <c r="K99" s="25" t="n">
        <v>141.5</v>
      </c>
      <c r="L99" s="25" t="n">
        <v>145.1</v>
      </c>
      <c r="M99" s="25" t="n">
        <v>151.6</v>
      </c>
      <c r="N99" s="25" t="n">
        <v>147.9</v>
      </c>
      <c r="O99" s="25" t="n">
        <v>152.8</v>
      </c>
      <c r="P99" s="25" t="n">
        <v>167.3</v>
      </c>
      <c r="Q99" s="33">
        <f>SUM(D99:P99)</f>
        <v/>
      </c>
    </row>
    <row r="100">
      <c r="A100" s="5" t="inlineStr">
        <is>
          <t>P0096</t>
        </is>
      </c>
      <c r="B100" s="5" t="inlineStr">
        <is>
          <t>Office Item 096</t>
        </is>
      </c>
      <c r="C100" s="5" t="inlineStr">
        <is>
          <t>B</t>
        </is>
      </c>
      <c r="D100" s="25" t="n">
        <v>16.5</v>
      </c>
      <c r="E100" s="25" t="n">
        <v>16.3</v>
      </c>
      <c r="F100" s="25" t="n">
        <v>19</v>
      </c>
      <c r="G100" s="25" t="n">
        <v>16.4</v>
      </c>
      <c r="H100" s="25" t="n">
        <v>14.8</v>
      </c>
      <c r="I100" s="25" t="n">
        <v>13.4</v>
      </c>
      <c r="J100" s="25" t="n">
        <v>12</v>
      </c>
      <c r="K100" s="25" t="n">
        <v>11.4</v>
      </c>
      <c r="L100" s="25" t="n">
        <v>10.4</v>
      </c>
      <c r="M100" s="25" t="n">
        <v>12.2</v>
      </c>
      <c r="N100" s="25" t="n">
        <v>11.1</v>
      </c>
      <c r="O100" s="25" t="n">
        <v>9.9</v>
      </c>
      <c r="P100" s="25" t="n">
        <v>11.4</v>
      </c>
      <c r="Q100" s="33">
        <f>SUM(D100:P100)</f>
        <v/>
      </c>
    </row>
    <row r="101">
      <c r="A101" s="5" t="inlineStr">
        <is>
          <t>P0097</t>
        </is>
      </c>
      <c r="B101" s="5" t="inlineStr">
        <is>
          <t>Office Item 097</t>
        </is>
      </c>
      <c r="C101" s="5" t="inlineStr">
        <is>
          <t>C</t>
        </is>
      </c>
      <c r="D101" s="25" t="n">
        <v>5.2</v>
      </c>
      <c r="E101" s="25" t="n">
        <v>3.8</v>
      </c>
      <c r="F101" s="25" t="n">
        <v>5.2</v>
      </c>
      <c r="G101" s="25" t="n">
        <v>4.8</v>
      </c>
      <c r="H101" s="25" t="n">
        <v>3.8</v>
      </c>
      <c r="I101" s="25" t="n">
        <v>3.8</v>
      </c>
      <c r="J101" s="25" t="n">
        <v>4.3</v>
      </c>
      <c r="K101" s="25" t="n">
        <v>6.3</v>
      </c>
      <c r="L101" s="25" t="n">
        <v>6.2</v>
      </c>
      <c r="M101" s="25" t="n">
        <v>3.4</v>
      </c>
      <c r="N101" s="25" t="n">
        <v>5.8</v>
      </c>
      <c r="O101" s="25" t="n">
        <v>4.7</v>
      </c>
      <c r="P101" s="25" t="n">
        <v>5</v>
      </c>
      <c r="Q101" s="33">
        <f>SUM(D101:P101)</f>
        <v/>
      </c>
    </row>
    <row r="102">
      <c r="A102" s="5" t="inlineStr">
        <is>
          <t>P0098</t>
        </is>
      </c>
      <c r="B102" s="5" t="inlineStr">
        <is>
          <t>Office Item 098</t>
        </is>
      </c>
      <c r="C102" s="5" t="inlineStr">
        <is>
          <t>B</t>
        </is>
      </c>
      <c r="D102" s="25" t="n">
        <v>22.8</v>
      </c>
      <c r="E102" s="25" t="n">
        <v>26.9</v>
      </c>
      <c r="F102" s="25" t="n">
        <v>23.6</v>
      </c>
      <c r="G102" s="25" t="n">
        <v>29.2</v>
      </c>
      <c r="H102" s="25" t="n">
        <v>23.6</v>
      </c>
      <c r="I102" s="25" t="n">
        <v>22.1</v>
      </c>
      <c r="J102" s="25" t="n">
        <v>18.7</v>
      </c>
      <c r="K102" s="25" t="n">
        <v>21.3</v>
      </c>
      <c r="L102" s="25" t="n">
        <v>23.6</v>
      </c>
      <c r="M102" s="25" t="n">
        <v>19.6</v>
      </c>
      <c r="N102" s="25" t="n">
        <v>20.4</v>
      </c>
      <c r="O102" s="25" t="n">
        <v>22.7</v>
      </c>
      <c r="P102" s="25" t="n">
        <v>21.3</v>
      </c>
      <c r="Q102" s="33">
        <f>SUM(D102:P102)</f>
        <v/>
      </c>
    </row>
    <row r="103">
      <c r="A103" s="5" t="inlineStr">
        <is>
          <t>P0099</t>
        </is>
      </c>
      <c r="B103" s="5" t="inlineStr">
        <is>
          <t>Office Item 099</t>
        </is>
      </c>
      <c r="C103" s="5" t="inlineStr">
        <is>
          <t>C</t>
        </is>
      </c>
      <c r="D103" s="25" t="n">
        <v>2.3</v>
      </c>
      <c r="E103" s="25" t="n">
        <v>3.2</v>
      </c>
      <c r="F103" s="25" t="n">
        <v>2.1</v>
      </c>
      <c r="G103" s="25" t="n">
        <v>2.9</v>
      </c>
      <c r="H103" s="25" t="n">
        <v>2.6</v>
      </c>
      <c r="I103" s="25" t="n">
        <v>2.1</v>
      </c>
      <c r="J103" s="25" t="n">
        <v>2.4</v>
      </c>
      <c r="K103" s="25" t="n">
        <v>2.6</v>
      </c>
      <c r="L103" s="25" t="n">
        <v>1.7</v>
      </c>
      <c r="M103" s="25" t="n">
        <v>1</v>
      </c>
      <c r="N103" s="25" t="n">
        <v>1.7</v>
      </c>
      <c r="O103" s="25" t="n">
        <v>3.3</v>
      </c>
      <c r="P103" s="25" t="n">
        <v>2.3</v>
      </c>
      <c r="Q103" s="33">
        <f>SUM(D103:P103)</f>
        <v/>
      </c>
    </row>
    <row r="104">
      <c r="A104" s="5" t="inlineStr">
        <is>
          <t>P0100</t>
        </is>
      </c>
      <c r="B104" s="5" t="inlineStr">
        <is>
          <t>Office Item 100</t>
        </is>
      </c>
      <c r="C104" s="5" t="inlineStr">
        <is>
          <t>C</t>
        </is>
      </c>
      <c r="D104" s="25" t="n">
        <v>21.6</v>
      </c>
      <c r="E104" s="25" t="n">
        <v>22.3</v>
      </c>
      <c r="F104" s="25" t="n">
        <v>21.6</v>
      </c>
      <c r="G104" s="25" t="n">
        <v>20.1</v>
      </c>
      <c r="H104" s="25" t="n">
        <v>25.6</v>
      </c>
      <c r="I104" s="25" t="n">
        <v>16.8</v>
      </c>
      <c r="J104" s="25" t="n">
        <v>18.4</v>
      </c>
      <c r="K104" s="25" t="n">
        <v>13.2</v>
      </c>
      <c r="L104" s="25" t="n">
        <v>18</v>
      </c>
      <c r="M104" s="25" t="n">
        <v>25.1</v>
      </c>
      <c r="N104" s="25" t="n">
        <v>30.2</v>
      </c>
      <c r="O104" s="25" t="n">
        <v>25.6</v>
      </c>
      <c r="P104" s="25" t="n">
        <v>24.9</v>
      </c>
      <c r="Q104" s="33">
        <f>SUM(D104:P104)</f>
        <v/>
      </c>
    </row>
    <row r="105">
      <c r="A105" s="5" t="inlineStr">
        <is>
          <t>P0101</t>
        </is>
      </c>
      <c r="B105" s="5" t="inlineStr">
        <is>
          <t>Office Item 101</t>
        </is>
      </c>
      <c r="C105" s="5" t="inlineStr">
        <is>
          <t>B</t>
        </is>
      </c>
      <c r="D105" s="25" t="n">
        <v>29.5</v>
      </c>
      <c r="E105" s="25" t="n">
        <v>30</v>
      </c>
      <c r="F105" s="25" t="n">
        <v>33.3</v>
      </c>
      <c r="G105" s="25" t="n">
        <v>34.1</v>
      </c>
      <c r="H105" s="25" t="n">
        <v>32.4</v>
      </c>
      <c r="I105" s="25" t="n">
        <v>36.2</v>
      </c>
      <c r="J105" s="25" t="n">
        <v>29.3</v>
      </c>
      <c r="K105" s="25" t="n">
        <v>30.3</v>
      </c>
      <c r="L105" s="25" t="n">
        <v>30.6</v>
      </c>
      <c r="M105" s="25" t="n">
        <v>31.3</v>
      </c>
      <c r="N105" s="25" t="n">
        <v>26.8</v>
      </c>
      <c r="O105" s="25" t="n">
        <v>35.6</v>
      </c>
      <c r="P105" s="25" t="n">
        <v>27.9</v>
      </c>
      <c r="Q105" s="33">
        <f>SUM(D105:P105)</f>
        <v/>
      </c>
    </row>
    <row r="106">
      <c r="A106" s="5" t="inlineStr">
        <is>
          <t>P0102</t>
        </is>
      </c>
      <c r="B106" s="5" t="inlineStr">
        <is>
          <t>Office Item 102</t>
        </is>
      </c>
      <c r="C106" s="5" t="inlineStr">
        <is>
          <t>B</t>
        </is>
      </c>
      <c r="D106" s="25" t="n">
        <v>21.3</v>
      </c>
      <c r="E106" s="25" t="n">
        <v>30</v>
      </c>
      <c r="F106" s="25" t="n">
        <v>19.7</v>
      </c>
      <c r="G106" s="25" t="n">
        <v>23</v>
      </c>
      <c r="H106" s="25" t="n">
        <v>21.3</v>
      </c>
      <c r="I106" s="25" t="n">
        <v>16.2</v>
      </c>
      <c r="J106" s="25" t="n">
        <v>17.2</v>
      </c>
      <c r="K106" s="25" t="n">
        <v>19.5</v>
      </c>
      <c r="L106" s="25" t="n">
        <v>16.2</v>
      </c>
      <c r="M106" s="25" t="n">
        <v>21.4</v>
      </c>
      <c r="N106" s="25" t="n">
        <v>20.4</v>
      </c>
      <c r="O106" s="25" t="n">
        <v>23.4</v>
      </c>
      <c r="P106" s="25" t="n">
        <v>24.4</v>
      </c>
      <c r="Q106" s="33">
        <f>SUM(D106:P106)</f>
        <v/>
      </c>
    </row>
    <row r="107">
      <c r="A107" s="5" t="inlineStr">
        <is>
          <t>P0103</t>
        </is>
      </c>
      <c r="B107" s="5" t="inlineStr">
        <is>
          <t>Office Item 103</t>
        </is>
      </c>
      <c r="C107" s="5" t="inlineStr">
        <is>
          <t>C</t>
        </is>
      </c>
      <c r="D107" s="25" t="n">
        <v>0.8</v>
      </c>
      <c r="E107" s="25" t="n">
        <v>0.7</v>
      </c>
      <c r="F107" s="25" t="n">
        <v>0.7</v>
      </c>
      <c r="G107" s="25" t="n">
        <v>0.8</v>
      </c>
      <c r="H107" s="25" t="n">
        <v>0.8</v>
      </c>
      <c r="I107" s="25" t="n">
        <v>0.8</v>
      </c>
      <c r="J107" s="25" t="n">
        <v>0.9</v>
      </c>
      <c r="K107" s="25" t="n">
        <v>0.8</v>
      </c>
      <c r="L107" s="25" t="n">
        <v>0.8</v>
      </c>
      <c r="M107" s="25" t="n">
        <v>0.9</v>
      </c>
      <c r="N107" s="25" t="n">
        <v>0.9</v>
      </c>
      <c r="O107" s="25" t="n">
        <v>1.8</v>
      </c>
      <c r="P107" s="25" t="n">
        <v>1.3</v>
      </c>
      <c r="Q107" s="33">
        <f>SUM(D107:P107)</f>
        <v/>
      </c>
    </row>
    <row r="108">
      <c r="A108" s="5" t="inlineStr">
        <is>
          <t>P0104</t>
        </is>
      </c>
      <c r="B108" s="5" t="inlineStr">
        <is>
          <t>Office Item 104</t>
        </is>
      </c>
      <c r="C108" s="5" t="inlineStr">
        <is>
          <t>C</t>
        </is>
      </c>
      <c r="D108" s="25" t="n">
        <v>2.7</v>
      </c>
      <c r="E108" s="25" t="n">
        <v>6.9</v>
      </c>
      <c r="F108" s="25" t="n">
        <v>5.6</v>
      </c>
      <c r="G108" s="25" t="n">
        <v>5.6</v>
      </c>
      <c r="H108" s="25" t="n">
        <v>8.6</v>
      </c>
      <c r="I108" s="25" t="n">
        <v>4.9</v>
      </c>
      <c r="J108" s="25" t="n">
        <v>5.5</v>
      </c>
      <c r="K108" s="25" t="n">
        <v>5.5</v>
      </c>
      <c r="L108" s="25" t="n">
        <v>6.8</v>
      </c>
      <c r="M108" s="25" t="n">
        <v>4.7</v>
      </c>
      <c r="N108" s="25" t="n">
        <v>4</v>
      </c>
      <c r="O108" s="25" t="n">
        <v>4.8</v>
      </c>
      <c r="P108" s="25" t="n">
        <v>4.7</v>
      </c>
      <c r="Q108" s="33">
        <f>SUM(D108:P108)</f>
        <v/>
      </c>
    </row>
    <row r="109">
      <c r="A109" s="5" t="inlineStr">
        <is>
          <t>P0105</t>
        </is>
      </c>
      <c r="B109" s="5" t="inlineStr">
        <is>
          <t>Office Item 105</t>
        </is>
      </c>
      <c r="C109" s="5" t="inlineStr">
        <is>
          <t>C</t>
        </is>
      </c>
      <c r="D109" s="25" t="n">
        <v>5.9</v>
      </c>
      <c r="E109" s="25" t="n">
        <v>6.6</v>
      </c>
      <c r="F109" s="25" t="n">
        <v>3.7</v>
      </c>
      <c r="G109" s="25" t="n">
        <v>5.5</v>
      </c>
      <c r="H109" s="25" t="n">
        <v>5.9</v>
      </c>
      <c r="I109" s="25" t="n">
        <v>2.6</v>
      </c>
      <c r="J109" s="25" t="n">
        <v>4.3</v>
      </c>
      <c r="K109" s="25" t="n">
        <v>5.5</v>
      </c>
      <c r="L109" s="25" t="n">
        <v>5.9</v>
      </c>
      <c r="M109" s="25" t="n">
        <v>5.5</v>
      </c>
      <c r="N109" s="25" t="n">
        <v>5</v>
      </c>
      <c r="O109" s="25" t="n">
        <v>6.2</v>
      </c>
      <c r="P109" s="25" t="n">
        <v>3.9</v>
      </c>
      <c r="Q109" s="33">
        <f>SUM(D109:P109)</f>
        <v/>
      </c>
    </row>
    <row r="110">
      <c r="A110" s="5" t="inlineStr">
        <is>
          <t>P0106</t>
        </is>
      </c>
      <c r="B110" s="5" t="inlineStr">
        <is>
          <t>Office Item 106</t>
        </is>
      </c>
      <c r="C110" s="5" t="inlineStr">
        <is>
          <t>C</t>
        </is>
      </c>
      <c r="D110" s="25" t="n">
        <v>7.2</v>
      </c>
      <c r="E110" s="25" t="n">
        <v>14.6</v>
      </c>
      <c r="F110" s="25" t="n">
        <v>13.2</v>
      </c>
      <c r="G110" s="25" t="n">
        <v>12.5</v>
      </c>
      <c r="H110" s="25" t="n">
        <v>10.5</v>
      </c>
      <c r="I110" s="25" t="n">
        <v>10</v>
      </c>
      <c r="J110" s="25" t="n">
        <v>10.5</v>
      </c>
      <c r="K110" s="25" t="n">
        <v>11.3</v>
      </c>
      <c r="L110" s="25" t="n">
        <v>10.5</v>
      </c>
      <c r="M110" s="25" t="n">
        <v>12</v>
      </c>
      <c r="N110" s="25" t="n">
        <v>12.8</v>
      </c>
      <c r="O110" s="25" t="n">
        <v>11.3</v>
      </c>
      <c r="P110" s="25" t="n">
        <v>8.199999999999999</v>
      </c>
      <c r="Q110" s="33">
        <f>SUM(D110:P110)</f>
        <v/>
      </c>
    </row>
    <row r="111">
      <c r="A111" s="5" t="inlineStr">
        <is>
          <t>P0107</t>
        </is>
      </c>
      <c r="B111" s="5" t="inlineStr">
        <is>
          <t>Office Item 107</t>
        </is>
      </c>
      <c r="C111" s="5" t="inlineStr">
        <is>
          <t>C</t>
        </is>
      </c>
      <c r="D111" s="25" t="n">
        <v>3.2</v>
      </c>
      <c r="E111" s="25" t="n">
        <v>3.6</v>
      </c>
      <c r="F111" s="25" t="n">
        <v>6.3</v>
      </c>
      <c r="G111" s="25" t="n">
        <v>6.3</v>
      </c>
      <c r="H111" s="25" t="n">
        <v>3.1</v>
      </c>
      <c r="I111" s="25" t="n">
        <v>3.6</v>
      </c>
      <c r="J111" s="25" t="n">
        <v>4.7</v>
      </c>
      <c r="K111" s="25" t="n">
        <v>4</v>
      </c>
      <c r="L111" s="25" t="n">
        <v>3.6</v>
      </c>
      <c r="M111" s="25" t="n">
        <v>4.2</v>
      </c>
      <c r="N111" s="25" t="n">
        <v>2.9</v>
      </c>
      <c r="O111" s="25" t="n">
        <v>2.1</v>
      </c>
      <c r="P111" s="25" t="n">
        <v>3.3</v>
      </c>
      <c r="Q111" s="33">
        <f>SUM(D111:P111)</f>
        <v/>
      </c>
    </row>
    <row r="112">
      <c r="A112" s="5" t="inlineStr">
        <is>
          <t>P0108</t>
        </is>
      </c>
      <c r="B112" s="5" t="inlineStr">
        <is>
          <t>Office Item 108</t>
        </is>
      </c>
      <c r="C112" s="5" t="inlineStr">
        <is>
          <t>C</t>
        </is>
      </c>
      <c r="D112" s="25" t="n">
        <v>1.2</v>
      </c>
      <c r="E112" s="25" t="n">
        <v>1.1</v>
      </c>
      <c r="F112" s="25" t="n">
        <v>1.2</v>
      </c>
      <c r="G112" s="25" t="n">
        <v>2</v>
      </c>
      <c r="H112" s="25" t="n">
        <v>1.6</v>
      </c>
      <c r="I112" s="25" t="n">
        <v>1.6</v>
      </c>
      <c r="J112" s="25" t="n">
        <v>1.2</v>
      </c>
      <c r="K112" s="25" t="n">
        <v>1.2</v>
      </c>
      <c r="L112" s="25" t="n">
        <v>0.9</v>
      </c>
      <c r="M112" s="25" t="n">
        <v>1.4</v>
      </c>
      <c r="N112" s="25" t="n">
        <v>1.4</v>
      </c>
      <c r="O112" s="25" t="n">
        <v>1.5</v>
      </c>
      <c r="P112" s="25" t="n">
        <v>1.4</v>
      </c>
      <c r="Q112" s="33">
        <f>SUM(D112:P112)</f>
        <v/>
      </c>
    </row>
    <row r="113">
      <c r="A113" s="5" t="inlineStr">
        <is>
          <t>P0109</t>
        </is>
      </c>
      <c r="B113" s="5" t="inlineStr">
        <is>
          <t>Office Item 109</t>
        </is>
      </c>
      <c r="C113" s="5" t="inlineStr">
        <is>
          <t>B</t>
        </is>
      </c>
      <c r="D113" s="25" t="n">
        <v>77</v>
      </c>
      <c r="E113" s="25" t="n">
        <v>78.8</v>
      </c>
      <c r="F113" s="25" t="n">
        <v>80.8</v>
      </c>
      <c r="G113" s="25" t="n">
        <v>82.3</v>
      </c>
      <c r="H113" s="25" t="n">
        <v>72.5</v>
      </c>
      <c r="I113" s="25" t="n">
        <v>69.90000000000001</v>
      </c>
      <c r="J113" s="25" t="n">
        <v>74.2</v>
      </c>
      <c r="K113" s="25" t="n">
        <v>66.09999999999999</v>
      </c>
      <c r="L113" s="25" t="n">
        <v>68.5</v>
      </c>
      <c r="M113" s="25" t="n">
        <v>68</v>
      </c>
      <c r="N113" s="25" t="n">
        <v>72.40000000000001</v>
      </c>
      <c r="O113" s="25" t="n">
        <v>72.7</v>
      </c>
      <c r="P113" s="25" t="n">
        <v>69.8</v>
      </c>
      <c r="Q113" s="33">
        <f>SUM(D113:P113)</f>
        <v/>
      </c>
    </row>
    <row r="114">
      <c r="A114" s="5" t="inlineStr">
        <is>
          <t>P0110</t>
        </is>
      </c>
      <c r="B114" s="5" t="inlineStr">
        <is>
          <t>Office Item 110</t>
        </is>
      </c>
      <c r="C114" s="5" t="inlineStr">
        <is>
          <t>C</t>
        </is>
      </c>
      <c r="D114" s="25" t="n">
        <v>3.3</v>
      </c>
      <c r="E114" s="25" t="n">
        <v>3.3</v>
      </c>
      <c r="F114" s="25" t="n">
        <v>2.4</v>
      </c>
      <c r="G114" s="25" t="n">
        <v>2.6</v>
      </c>
      <c r="H114" s="25" t="n">
        <v>2.3</v>
      </c>
      <c r="I114" s="25" t="n">
        <v>2.2</v>
      </c>
      <c r="J114" s="25" t="n">
        <v>2.4</v>
      </c>
      <c r="K114" s="25" t="n">
        <v>2.2</v>
      </c>
      <c r="L114" s="25" t="n">
        <v>2.5</v>
      </c>
      <c r="M114" s="25" t="n">
        <v>2.3</v>
      </c>
      <c r="N114" s="25" t="n">
        <v>2</v>
      </c>
      <c r="O114" s="25" t="n">
        <v>2.9</v>
      </c>
      <c r="P114" s="25" t="n">
        <v>1.1</v>
      </c>
      <c r="Q114" s="33">
        <f>SUM(D114:P114)</f>
        <v/>
      </c>
    </row>
    <row r="115">
      <c r="A115" s="5" t="inlineStr">
        <is>
          <t>P0111</t>
        </is>
      </c>
      <c r="B115" s="5" t="inlineStr">
        <is>
          <t>Health Item 111</t>
        </is>
      </c>
      <c r="C115" s="5" t="inlineStr">
        <is>
          <t>A</t>
        </is>
      </c>
      <c r="D115" s="25" t="n">
        <v>34</v>
      </c>
      <c r="E115" s="25" t="n">
        <v>33.2</v>
      </c>
      <c r="F115" s="25" t="n">
        <v>35.9</v>
      </c>
      <c r="G115" s="25" t="n">
        <v>31.8</v>
      </c>
      <c r="H115" s="25" t="n">
        <v>36.7</v>
      </c>
      <c r="I115" s="25" t="n">
        <v>31.3</v>
      </c>
      <c r="J115" s="25" t="n">
        <v>38.1</v>
      </c>
      <c r="K115" s="25" t="n">
        <v>28.4</v>
      </c>
      <c r="L115" s="25" t="n">
        <v>32.9</v>
      </c>
      <c r="M115" s="25" t="n">
        <v>31.5</v>
      </c>
      <c r="N115" s="25" t="n">
        <v>24.4</v>
      </c>
      <c r="O115" s="25" t="n">
        <v>29.7</v>
      </c>
      <c r="P115" s="25" t="n">
        <v>32.6</v>
      </c>
      <c r="Q115" s="33">
        <f>SUM(D115:P115)</f>
        <v/>
      </c>
    </row>
    <row r="116">
      <c r="A116" s="5" t="inlineStr">
        <is>
          <t>P0112</t>
        </is>
      </c>
      <c r="B116" s="5" t="inlineStr">
        <is>
          <t>Health Item 112</t>
        </is>
      </c>
      <c r="C116" s="5" t="inlineStr">
        <is>
          <t>B</t>
        </is>
      </c>
      <c r="D116" s="25" t="n">
        <v>138.1</v>
      </c>
      <c r="E116" s="25" t="n">
        <v>134.7</v>
      </c>
      <c r="F116" s="25" t="n">
        <v>122.4</v>
      </c>
      <c r="G116" s="25" t="n">
        <v>145.6</v>
      </c>
      <c r="H116" s="25" t="n">
        <v>135.4</v>
      </c>
      <c r="I116" s="25" t="n">
        <v>140.8</v>
      </c>
      <c r="J116" s="25" t="n">
        <v>133.1</v>
      </c>
      <c r="K116" s="25" t="n">
        <v>140.9</v>
      </c>
      <c r="L116" s="25" t="n">
        <v>127.5</v>
      </c>
      <c r="M116" s="25" t="n">
        <v>145.1</v>
      </c>
      <c r="N116" s="25" t="n">
        <v>132.1</v>
      </c>
      <c r="O116" s="25" t="n">
        <v>114.9</v>
      </c>
      <c r="P116" s="25" t="n">
        <v>110.1</v>
      </c>
      <c r="Q116" s="33">
        <f>SUM(D116:P116)</f>
        <v/>
      </c>
    </row>
    <row r="117">
      <c r="A117" s="5" t="inlineStr">
        <is>
          <t>P0113</t>
        </is>
      </c>
      <c r="B117" s="5" t="inlineStr">
        <is>
          <t>Health Item 113</t>
        </is>
      </c>
      <c r="C117" s="5" t="inlineStr">
        <is>
          <t>C</t>
        </is>
      </c>
      <c r="D117" s="25" t="n">
        <v>39.6</v>
      </c>
      <c r="E117" s="25" t="n">
        <v>44.3</v>
      </c>
      <c r="F117" s="25" t="n">
        <v>42.8</v>
      </c>
      <c r="G117" s="25" t="n">
        <v>47.3</v>
      </c>
      <c r="H117" s="25" t="n">
        <v>41.8</v>
      </c>
      <c r="I117" s="25" t="n">
        <v>38</v>
      </c>
      <c r="J117" s="25" t="n">
        <v>37.9</v>
      </c>
      <c r="K117" s="25" t="n">
        <v>47</v>
      </c>
      <c r="L117" s="25" t="n">
        <v>31.9</v>
      </c>
      <c r="M117" s="25" t="n">
        <v>39.7</v>
      </c>
      <c r="N117" s="25" t="n">
        <v>41.1</v>
      </c>
      <c r="O117" s="25" t="n">
        <v>38.2</v>
      </c>
      <c r="P117" s="25" t="n">
        <v>36.6</v>
      </c>
      <c r="Q117" s="33">
        <f>SUM(D117:P117)</f>
        <v/>
      </c>
    </row>
    <row r="118">
      <c r="A118" s="5" t="inlineStr">
        <is>
          <t>P0114</t>
        </is>
      </c>
      <c r="B118" s="5" t="inlineStr">
        <is>
          <t>Health Item 114</t>
        </is>
      </c>
      <c r="C118" s="5" t="inlineStr">
        <is>
          <t>C</t>
        </is>
      </c>
      <c r="D118" s="25" t="n">
        <v>7.4</v>
      </c>
      <c r="E118" s="25" t="n">
        <v>9.199999999999999</v>
      </c>
      <c r="F118" s="25" t="n">
        <v>9.1</v>
      </c>
      <c r="G118" s="25" t="n">
        <v>6.4</v>
      </c>
      <c r="H118" s="25" t="n">
        <v>8.5</v>
      </c>
      <c r="I118" s="25" t="n">
        <v>9.699999999999999</v>
      </c>
      <c r="J118" s="25" t="n">
        <v>9.199999999999999</v>
      </c>
      <c r="K118" s="25" t="n">
        <v>7.7</v>
      </c>
      <c r="L118" s="25" t="n">
        <v>8.4</v>
      </c>
      <c r="M118" s="25" t="n">
        <v>9.4</v>
      </c>
      <c r="N118" s="25" t="n">
        <v>7.8</v>
      </c>
      <c r="O118" s="25" t="n">
        <v>7.2</v>
      </c>
      <c r="P118" s="25" t="n">
        <v>8.6</v>
      </c>
      <c r="Q118" s="33">
        <f>SUM(D118:P118)</f>
        <v/>
      </c>
    </row>
    <row r="119">
      <c r="A119" s="5" t="inlineStr">
        <is>
          <t>P0115</t>
        </is>
      </c>
      <c r="B119" s="5" t="inlineStr">
        <is>
          <t>Health Item 115</t>
        </is>
      </c>
      <c r="C119" s="5" t="inlineStr">
        <is>
          <t>B</t>
        </is>
      </c>
      <c r="D119" s="25" t="n">
        <v>13</v>
      </c>
      <c r="E119" s="25" t="n">
        <v>15.6</v>
      </c>
      <c r="F119" s="25" t="n">
        <v>13.9</v>
      </c>
      <c r="G119" s="25" t="n">
        <v>8.699999999999999</v>
      </c>
      <c r="H119" s="25" t="n">
        <v>14.2</v>
      </c>
      <c r="I119" s="25" t="n">
        <v>15.5</v>
      </c>
      <c r="J119" s="25" t="n">
        <v>11.7</v>
      </c>
      <c r="K119" s="25" t="n">
        <v>11.7</v>
      </c>
      <c r="L119" s="25" t="n">
        <v>9.800000000000001</v>
      </c>
      <c r="M119" s="25" t="n">
        <v>11.7</v>
      </c>
      <c r="N119" s="25" t="n">
        <v>9.9</v>
      </c>
      <c r="O119" s="25" t="n">
        <v>15.2</v>
      </c>
      <c r="P119" s="25" t="n">
        <v>13.9</v>
      </c>
      <c r="Q119" s="33">
        <f>SUM(D119:P119)</f>
        <v/>
      </c>
    </row>
    <row r="120">
      <c r="A120" s="5" t="inlineStr">
        <is>
          <t>P0116</t>
        </is>
      </c>
      <c r="B120" s="5" t="inlineStr">
        <is>
          <t>Health Item 116</t>
        </is>
      </c>
      <c r="C120" s="5" t="inlineStr">
        <is>
          <t>A</t>
        </is>
      </c>
      <c r="D120" s="25" t="n">
        <v>49.5</v>
      </c>
      <c r="E120" s="25" t="n">
        <v>42.6</v>
      </c>
      <c r="F120" s="25" t="n">
        <v>49.8</v>
      </c>
      <c r="G120" s="25" t="n">
        <v>43.5</v>
      </c>
      <c r="H120" s="25" t="n">
        <v>46.6</v>
      </c>
      <c r="I120" s="25" t="n">
        <v>42.2</v>
      </c>
      <c r="J120" s="25" t="n">
        <v>45.9</v>
      </c>
      <c r="K120" s="25" t="n">
        <v>43.4</v>
      </c>
      <c r="L120" s="25" t="n">
        <v>43.2</v>
      </c>
      <c r="M120" s="25" t="n">
        <v>39.5</v>
      </c>
      <c r="N120" s="25" t="n">
        <v>44.4</v>
      </c>
      <c r="O120" s="25" t="n">
        <v>33.5</v>
      </c>
      <c r="P120" s="25" t="n">
        <v>42.3</v>
      </c>
      <c r="Q120" s="33">
        <f>SUM(D120:P120)</f>
        <v/>
      </c>
    </row>
    <row r="121">
      <c r="A121" s="5" t="inlineStr">
        <is>
          <t>P0117</t>
        </is>
      </c>
      <c r="B121" s="5" t="inlineStr">
        <is>
          <t>Health Item 117</t>
        </is>
      </c>
      <c r="C121" s="5" t="inlineStr">
        <is>
          <t>C</t>
        </is>
      </c>
      <c r="D121" s="25" t="n">
        <v>33</v>
      </c>
      <c r="E121" s="25" t="n">
        <v>35.9</v>
      </c>
      <c r="F121" s="25" t="n">
        <v>33.4</v>
      </c>
      <c r="G121" s="25" t="n">
        <v>37.7</v>
      </c>
      <c r="H121" s="25" t="n">
        <v>31.5</v>
      </c>
      <c r="I121" s="25" t="n">
        <v>33.3</v>
      </c>
      <c r="J121" s="25" t="n">
        <v>29.1</v>
      </c>
      <c r="K121" s="25" t="n">
        <v>33.3</v>
      </c>
      <c r="L121" s="25" t="n">
        <v>42.9</v>
      </c>
      <c r="M121" s="25" t="n">
        <v>32.1</v>
      </c>
      <c r="N121" s="25" t="n">
        <v>30.9</v>
      </c>
      <c r="O121" s="25" t="n">
        <v>27.8</v>
      </c>
      <c r="P121" s="25" t="n">
        <v>23.2</v>
      </c>
      <c r="Q121" s="33">
        <f>SUM(D121:P121)</f>
        <v/>
      </c>
    </row>
    <row r="122">
      <c r="A122" s="5" t="inlineStr">
        <is>
          <t>P0118</t>
        </is>
      </c>
      <c r="B122" s="5" t="inlineStr">
        <is>
          <t>Health Item 118</t>
        </is>
      </c>
      <c r="C122" s="5" t="inlineStr">
        <is>
          <t>C</t>
        </is>
      </c>
      <c r="D122" s="25" t="n">
        <v>7.6</v>
      </c>
      <c r="E122" s="25" t="n">
        <v>7.7</v>
      </c>
      <c r="F122" s="25" t="n">
        <v>7.6</v>
      </c>
      <c r="G122" s="25" t="n">
        <v>10.5</v>
      </c>
      <c r="H122" s="25" t="n">
        <v>3.5</v>
      </c>
      <c r="I122" s="25" t="n">
        <v>10.1</v>
      </c>
      <c r="J122" s="25" t="n">
        <v>7.6</v>
      </c>
      <c r="K122" s="25" t="n">
        <v>1.8</v>
      </c>
      <c r="L122" s="25" t="n">
        <v>10.2</v>
      </c>
      <c r="M122" s="25" t="n">
        <v>5.8</v>
      </c>
      <c r="N122" s="25" t="n">
        <v>10.5</v>
      </c>
      <c r="O122" s="25" t="n">
        <v>5.2</v>
      </c>
      <c r="P122" s="25" t="n">
        <v>9.5</v>
      </c>
      <c r="Q122" s="33">
        <f>SUM(D122:P122)</f>
        <v/>
      </c>
    </row>
    <row r="123">
      <c r="A123" s="5" t="inlineStr">
        <is>
          <t>P0119</t>
        </is>
      </c>
      <c r="B123" s="5" t="inlineStr">
        <is>
          <t>Health Item 119</t>
        </is>
      </c>
      <c r="C123" s="5" t="inlineStr">
        <is>
          <t>B</t>
        </is>
      </c>
      <c r="D123" s="25" t="n">
        <v>95.40000000000001</v>
      </c>
      <c r="E123" s="25" t="n">
        <v>91.40000000000001</v>
      </c>
      <c r="F123" s="25" t="n">
        <v>99.59999999999999</v>
      </c>
      <c r="G123" s="25" t="n">
        <v>96.59999999999999</v>
      </c>
      <c r="H123" s="25" t="n">
        <v>85.59999999999999</v>
      </c>
      <c r="I123" s="25" t="n">
        <v>94</v>
      </c>
      <c r="J123" s="25" t="n">
        <v>91.2</v>
      </c>
      <c r="K123" s="25" t="n">
        <v>84.90000000000001</v>
      </c>
      <c r="L123" s="25" t="n">
        <v>85.7</v>
      </c>
      <c r="M123" s="25" t="n">
        <v>82.09999999999999</v>
      </c>
      <c r="N123" s="25" t="n">
        <v>83.3</v>
      </c>
      <c r="O123" s="25" t="n">
        <v>92.09999999999999</v>
      </c>
      <c r="P123" s="25" t="n">
        <v>82.8</v>
      </c>
      <c r="Q123" s="33">
        <f>SUM(D123:P123)</f>
        <v/>
      </c>
    </row>
    <row r="124">
      <c r="A124" s="5" t="inlineStr">
        <is>
          <t>P0120</t>
        </is>
      </c>
      <c r="B124" s="5" t="inlineStr">
        <is>
          <t>Health Item 120</t>
        </is>
      </c>
      <c r="C124" s="5" t="inlineStr">
        <is>
          <t>C</t>
        </is>
      </c>
      <c r="D124" s="25" t="n">
        <v>6.4</v>
      </c>
      <c r="E124" s="25" t="n">
        <v>3.8</v>
      </c>
      <c r="F124" s="25" t="n">
        <v>4.4</v>
      </c>
      <c r="G124" s="25" t="n">
        <v>4.4</v>
      </c>
      <c r="H124" s="25" t="n">
        <v>6.4</v>
      </c>
      <c r="I124" s="25" t="n">
        <v>2.8</v>
      </c>
      <c r="J124" s="25" t="n">
        <v>5.6</v>
      </c>
      <c r="K124" s="25" t="n">
        <v>4.4</v>
      </c>
      <c r="L124" s="25" t="n">
        <v>4.3</v>
      </c>
      <c r="M124" s="25" t="n">
        <v>7.3</v>
      </c>
      <c r="N124" s="25" t="n">
        <v>5.9</v>
      </c>
      <c r="O124" s="25" t="n">
        <v>2.9</v>
      </c>
      <c r="P124" s="25" t="n">
        <v>2.8</v>
      </c>
      <c r="Q124" s="33">
        <f>SUM(D124:P124)</f>
        <v/>
      </c>
    </row>
    <row r="125">
      <c r="A125" s="5" t="inlineStr">
        <is>
          <t>P0121</t>
        </is>
      </c>
      <c r="B125" s="5" t="inlineStr">
        <is>
          <t>Health Item 121</t>
        </is>
      </c>
      <c r="C125" s="5" t="inlineStr">
        <is>
          <t>C</t>
        </is>
      </c>
      <c r="D125" s="25" t="n">
        <v>27.4</v>
      </c>
      <c r="E125" s="25" t="n">
        <v>24.6</v>
      </c>
      <c r="F125" s="25" t="n">
        <v>26.6</v>
      </c>
      <c r="G125" s="25" t="n">
        <v>25.7</v>
      </c>
      <c r="H125" s="25" t="n">
        <v>26.6</v>
      </c>
      <c r="I125" s="25" t="n">
        <v>29.8</v>
      </c>
      <c r="J125" s="25" t="n">
        <v>27.2</v>
      </c>
      <c r="K125" s="25" t="n">
        <v>33.2</v>
      </c>
      <c r="L125" s="25" t="n">
        <v>24.4</v>
      </c>
      <c r="M125" s="25" t="n">
        <v>27.4</v>
      </c>
      <c r="N125" s="25" t="n">
        <v>23.6</v>
      </c>
      <c r="O125" s="25" t="n">
        <v>20.6</v>
      </c>
      <c r="P125" s="25" t="n">
        <v>26</v>
      </c>
      <c r="Q125" s="33">
        <f>SUM(D125:P125)</f>
        <v/>
      </c>
    </row>
    <row r="126">
      <c r="A126" s="5" t="inlineStr">
        <is>
          <t>P0122</t>
        </is>
      </c>
      <c r="B126" s="5" t="inlineStr">
        <is>
          <t>Health Item 122</t>
        </is>
      </c>
      <c r="C126" s="5" t="inlineStr">
        <is>
          <t>C</t>
        </is>
      </c>
      <c r="D126" s="25" t="n">
        <v>7</v>
      </c>
      <c r="E126" s="25" t="n">
        <v>4.8</v>
      </c>
      <c r="F126" s="25" t="n">
        <v>8.199999999999999</v>
      </c>
      <c r="G126" s="25" t="n">
        <v>8.1</v>
      </c>
      <c r="H126" s="25" t="n">
        <v>3.8</v>
      </c>
      <c r="I126" s="25" t="n">
        <v>4.3</v>
      </c>
      <c r="J126" s="25" t="n">
        <v>2.5</v>
      </c>
      <c r="K126" s="25" t="n">
        <v>3.2</v>
      </c>
      <c r="L126" s="25" t="n">
        <v>4.7</v>
      </c>
      <c r="M126" s="25" t="n">
        <v>4.2</v>
      </c>
      <c r="N126" s="25" t="n">
        <v>5.8</v>
      </c>
      <c r="O126" s="25" t="n">
        <v>3.8</v>
      </c>
      <c r="P126" s="25" t="n">
        <v>5.3</v>
      </c>
      <c r="Q126" s="33">
        <f>SUM(D126:P126)</f>
        <v/>
      </c>
    </row>
    <row r="127">
      <c r="A127" s="5" t="inlineStr">
        <is>
          <t>P0123</t>
        </is>
      </c>
      <c r="B127" s="5" t="inlineStr">
        <is>
          <t>Health Item 123</t>
        </is>
      </c>
      <c r="C127" s="5" t="inlineStr">
        <is>
          <t>A</t>
        </is>
      </c>
      <c r="D127" s="25" t="n">
        <v>97.7</v>
      </c>
      <c r="E127" s="25" t="n">
        <v>90.59999999999999</v>
      </c>
      <c r="F127" s="25" t="n">
        <v>106.1</v>
      </c>
      <c r="G127" s="25" t="n">
        <v>103</v>
      </c>
      <c r="H127" s="25" t="n">
        <v>96.59999999999999</v>
      </c>
      <c r="I127" s="25" t="n">
        <v>103.7</v>
      </c>
      <c r="J127" s="25" t="n">
        <v>87.3</v>
      </c>
      <c r="K127" s="25" t="n">
        <v>91.40000000000001</v>
      </c>
      <c r="L127" s="25" t="n">
        <v>89.8</v>
      </c>
      <c r="M127" s="25" t="n">
        <v>99.5</v>
      </c>
      <c r="N127" s="25" t="n">
        <v>89.40000000000001</v>
      </c>
      <c r="O127" s="25" t="n">
        <v>89.8</v>
      </c>
      <c r="P127" s="25" t="n">
        <v>89.40000000000001</v>
      </c>
      <c r="Q127" s="33">
        <f>SUM(D127:P127)</f>
        <v/>
      </c>
    </row>
    <row r="128">
      <c r="A128" s="5" t="inlineStr">
        <is>
          <t>P0124</t>
        </is>
      </c>
      <c r="B128" s="5" t="inlineStr">
        <is>
          <t>Health Item 124</t>
        </is>
      </c>
      <c r="C128" s="5" t="inlineStr">
        <is>
          <t>B</t>
        </is>
      </c>
      <c r="D128" s="25" t="n">
        <v>24.4</v>
      </c>
      <c r="E128" s="25" t="n">
        <v>24.4</v>
      </c>
      <c r="F128" s="25" t="n">
        <v>25.7</v>
      </c>
      <c r="G128" s="25" t="n">
        <v>25.7</v>
      </c>
      <c r="H128" s="25" t="n">
        <v>25.5</v>
      </c>
      <c r="I128" s="25" t="n">
        <v>24.4</v>
      </c>
      <c r="J128" s="25" t="n">
        <v>20.7</v>
      </c>
      <c r="K128" s="25" t="n">
        <v>28.5</v>
      </c>
      <c r="L128" s="25" t="n">
        <v>29.3</v>
      </c>
      <c r="M128" s="25" t="n">
        <v>21.8</v>
      </c>
      <c r="N128" s="25" t="n">
        <v>18.7</v>
      </c>
      <c r="O128" s="25" t="n">
        <v>23.8</v>
      </c>
      <c r="P128" s="25" t="n">
        <v>29.2</v>
      </c>
      <c r="Q128" s="33">
        <f>SUM(D128:P128)</f>
        <v/>
      </c>
    </row>
    <row r="129">
      <c r="A129" s="5" t="inlineStr">
        <is>
          <t>P0125</t>
        </is>
      </c>
      <c r="B129" s="5" t="inlineStr">
        <is>
          <t>Health Item 125</t>
        </is>
      </c>
      <c r="C129" s="5" t="inlineStr">
        <is>
          <t>B</t>
        </is>
      </c>
      <c r="D129" s="25" t="n">
        <v>237</v>
      </c>
      <c r="E129" s="25" t="n">
        <v>232.8</v>
      </c>
      <c r="F129" s="25" t="n">
        <v>219.1</v>
      </c>
      <c r="G129" s="25" t="n">
        <v>216.6</v>
      </c>
      <c r="H129" s="25" t="n">
        <v>220.9</v>
      </c>
      <c r="I129" s="25" t="n">
        <v>220.9</v>
      </c>
      <c r="J129" s="25" t="n">
        <v>192</v>
      </c>
      <c r="K129" s="25" t="n">
        <v>243.7</v>
      </c>
      <c r="L129" s="25" t="n">
        <v>242.5</v>
      </c>
      <c r="M129" s="25" t="n">
        <v>247.9</v>
      </c>
      <c r="N129" s="25" t="n">
        <v>226.2</v>
      </c>
      <c r="O129" s="25" t="n">
        <v>222</v>
      </c>
      <c r="P129" s="25" t="n">
        <v>209.3</v>
      </c>
      <c r="Q129" s="33">
        <f>SUM(D129:P129)</f>
        <v/>
      </c>
    </row>
    <row r="130">
      <c r="A130" s="5" t="inlineStr">
        <is>
          <t>P0126</t>
        </is>
      </c>
      <c r="B130" s="5" t="inlineStr">
        <is>
          <t>Health Item 126</t>
        </is>
      </c>
      <c r="C130" s="5" t="inlineStr">
        <is>
          <t>A</t>
        </is>
      </c>
      <c r="D130" s="25" t="n">
        <v>33.6</v>
      </c>
      <c r="E130" s="25" t="n">
        <v>41</v>
      </c>
      <c r="F130" s="25" t="n">
        <v>34.8</v>
      </c>
      <c r="G130" s="25" t="n">
        <v>38</v>
      </c>
      <c r="H130" s="25" t="n">
        <v>38</v>
      </c>
      <c r="I130" s="25" t="n">
        <v>32.2</v>
      </c>
      <c r="J130" s="25" t="n">
        <v>34.9</v>
      </c>
      <c r="K130" s="25" t="n">
        <v>36.4</v>
      </c>
      <c r="L130" s="25" t="n">
        <v>31.7</v>
      </c>
      <c r="M130" s="25" t="n">
        <v>33.4</v>
      </c>
      <c r="N130" s="25" t="n">
        <v>41.5</v>
      </c>
      <c r="O130" s="25" t="n">
        <v>37.6</v>
      </c>
      <c r="P130" s="25" t="n">
        <v>31.7</v>
      </c>
      <c r="Q130" s="33">
        <f>SUM(D130:P130)</f>
        <v/>
      </c>
    </row>
    <row r="131">
      <c r="A131" s="5" t="inlineStr">
        <is>
          <t>P0127</t>
        </is>
      </c>
      <c r="B131" s="5" t="inlineStr">
        <is>
          <t>Health Item 127</t>
        </is>
      </c>
      <c r="C131" s="5" t="inlineStr">
        <is>
          <t>C</t>
        </is>
      </c>
      <c r="D131" s="25" t="n">
        <v>6.4</v>
      </c>
      <c r="E131" s="25" t="n">
        <v>8.300000000000001</v>
      </c>
      <c r="F131" s="25" t="n">
        <v>5.5</v>
      </c>
      <c r="G131" s="25" t="n">
        <v>7.5</v>
      </c>
      <c r="H131" s="25" t="n">
        <v>5</v>
      </c>
      <c r="I131" s="25" t="n">
        <v>6.4</v>
      </c>
      <c r="J131" s="25" t="n">
        <v>10.2</v>
      </c>
      <c r="K131" s="25" t="n">
        <v>5.4</v>
      </c>
      <c r="L131" s="25" t="n">
        <v>8.199999999999999</v>
      </c>
      <c r="M131" s="25" t="n">
        <v>9.6</v>
      </c>
      <c r="N131" s="25" t="n">
        <v>7.4</v>
      </c>
      <c r="O131" s="25" t="n">
        <v>10.2</v>
      </c>
      <c r="P131" s="25" t="n">
        <v>6.3</v>
      </c>
      <c r="Q131" s="33">
        <f>SUM(D131:P131)</f>
        <v/>
      </c>
    </row>
    <row r="132">
      <c r="A132" s="5" t="inlineStr">
        <is>
          <t>P0128</t>
        </is>
      </c>
      <c r="B132" s="5" t="inlineStr">
        <is>
          <t>Health Item 128</t>
        </is>
      </c>
      <c r="C132" s="5" t="inlineStr">
        <is>
          <t>B</t>
        </is>
      </c>
      <c r="D132" s="25" t="n">
        <v>47.6</v>
      </c>
      <c r="E132" s="25" t="n">
        <v>41.9</v>
      </c>
      <c r="F132" s="25" t="n">
        <v>41.1</v>
      </c>
      <c r="G132" s="25" t="n">
        <v>46.1</v>
      </c>
      <c r="H132" s="25" t="n">
        <v>43</v>
      </c>
      <c r="I132" s="25" t="n">
        <v>43.7</v>
      </c>
      <c r="J132" s="25" t="n">
        <v>43.6</v>
      </c>
      <c r="K132" s="25" t="n">
        <v>43</v>
      </c>
      <c r="L132" s="25" t="n">
        <v>44.9</v>
      </c>
      <c r="M132" s="25" t="n">
        <v>44.9</v>
      </c>
      <c r="N132" s="25" t="n">
        <v>49.1</v>
      </c>
      <c r="O132" s="25" t="n">
        <v>39.5</v>
      </c>
      <c r="P132" s="25" t="n">
        <v>36.7</v>
      </c>
      <c r="Q132" s="33">
        <f>SUM(D132:P132)</f>
        <v/>
      </c>
    </row>
    <row r="133">
      <c r="A133" s="5" t="inlineStr">
        <is>
          <t>P0129</t>
        </is>
      </c>
      <c r="B133" s="5" t="inlineStr">
        <is>
          <t>Health Item 129</t>
        </is>
      </c>
      <c r="C133" s="5" t="inlineStr">
        <is>
          <t>C</t>
        </is>
      </c>
      <c r="D133" s="25" t="n">
        <v>14.8</v>
      </c>
      <c r="E133" s="25" t="n">
        <v>17</v>
      </c>
      <c r="F133" s="25" t="n">
        <v>11.8</v>
      </c>
      <c r="G133" s="25" t="n">
        <v>18.9</v>
      </c>
      <c r="H133" s="25" t="n">
        <v>18.9</v>
      </c>
      <c r="I133" s="25" t="n">
        <v>15.5</v>
      </c>
      <c r="J133" s="25" t="n">
        <v>18.9</v>
      </c>
      <c r="K133" s="25" t="n">
        <v>17</v>
      </c>
      <c r="L133" s="25" t="n">
        <v>13.9</v>
      </c>
      <c r="M133" s="25" t="n">
        <v>16.1</v>
      </c>
      <c r="N133" s="25" t="n">
        <v>16</v>
      </c>
      <c r="O133" s="25" t="n">
        <v>15.4</v>
      </c>
      <c r="P133" s="25" t="n">
        <v>14</v>
      </c>
      <c r="Q133" s="33">
        <f>SUM(D133:P133)</f>
        <v/>
      </c>
    </row>
    <row r="134">
      <c r="A134" s="5" t="inlineStr">
        <is>
          <t>P0130</t>
        </is>
      </c>
      <c r="B134" s="5" t="inlineStr">
        <is>
          <t>Health Item 130</t>
        </is>
      </c>
      <c r="C134" s="5" t="inlineStr">
        <is>
          <t>C</t>
        </is>
      </c>
      <c r="D134" s="25" t="n">
        <v>49.7</v>
      </c>
      <c r="E134" s="25" t="n">
        <v>51.6</v>
      </c>
      <c r="F134" s="25" t="n">
        <v>49.7</v>
      </c>
      <c r="G134" s="25" t="n">
        <v>52.9</v>
      </c>
      <c r="H134" s="25" t="n">
        <v>44.7</v>
      </c>
      <c r="I134" s="25" t="n">
        <v>44.7</v>
      </c>
      <c r="J134" s="25" t="n">
        <v>51.3</v>
      </c>
      <c r="K134" s="25" t="n">
        <v>46.9</v>
      </c>
      <c r="L134" s="25" t="n">
        <v>44.5</v>
      </c>
      <c r="M134" s="25" t="n">
        <v>48.3</v>
      </c>
      <c r="N134" s="25" t="n">
        <v>39.3</v>
      </c>
      <c r="O134" s="25" t="n">
        <v>52</v>
      </c>
      <c r="P134" s="25" t="n">
        <v>46.9</v>
      </c>
      <c r="Q134" s="33">
        <f>SUM(D134:P134)</f>
        <v/>
      </c>
    </row>
    <row r="135">
      <c r="A135" s="5" t="inlineStr">
        <is>
          <t>P0131</t>
        </is>
      </c>
      <c r="B135" s="5" t="inlineStr">
        <is>
          <t>Packaging Item 131</t>
        </is>
      </c>
      <c r="C135" s="5" t="inlineStr">
        <is>
          <t>B</t>
        </is>
      </c>
      <c r="D135" s="25" t="n">
        <v>173.7</v>
      </c>
      <c r="E135" s="25" t="n">
        <v>174.1</v>
      </c>
      <c r="F135" s="25" t="n">
        <v>182.8</v>
      </c>
      <c r="G135" s="25" t="n">
        <v>168.5</v>
      </c>
      <c r="H135" s="25" t="n">
        <v>166.4</v>
      </c>
      <c r="I135" s="25" t="n">
        <v>173.7</v>
      </c>
      <c r="J135" s="25" t="n">
        <v>179.1</v>
      </c>
      <c r="K135" s="25" t="n">
        <v>169.1</v>
      </c>
      <c r="L135" s="25" t="n">
        <v>168.6</v>
      </c>
      <c r="M135" s="25" t="n">
        <v>166.6</v>
      </c>
      <c r="N135" s="25" t="n">
        <v>176</v>
      </c>
      <c r="O135" s="25" t="n">
        <v>177.1</v>
      </c>
      <c r="P135" s="25" t="n">
        <v>176.3</v>
      </c>
      <c r="Q135" s="33">
        <f>SUM(D135:P135)</f>
        <v/>
      </c>
    </row>
    <row r="136">
      <c r="A136" s="5" t="inlineStr">
        <is>
          <t>P0132</t>
        </is>
      </c>
      <c r="B136" s="5" t="inlineStr">
        <is>
          <t>Packaging Item 132</t>
        </is>
      </c>
      <c r="C136" s="5" t="inlineStr">
        <is>
          <t>C</t>
        </is>
      </c>
      <c r="D136" s="25" t="n">
        <v>8</v>
      </c>
      <c r="E136" s="25" t="n">
        <v>11</v>
      </c>
      <c r="F136" s="25" t="n">
        <v>7.1</v>
      </c>
      <c r="G136" s="25" t="n">
        <v>7.5</v>
      </c>
      <c r="H136" s="25" t="n">
        <v>11.7</v>
      </c>
      <c r="I136" s="25" t="n">
        <v>8.9</v>
      </c>
      <c r="J136" s="25" t="n">
        <v>5.4</v>
      </c>
      <c r="K136" s="25" t="n">
        <v>9.4</v>
      </c>
      <c r="L136" s="25" t="n">
        <v>11.8</v>
      </c>
      <c r="M136" s="25" t="n">
        <v>6.8</v>
      </c>
      <c r="N136" s="25" t="n">
        <v>9.699999999999999</v>
      </c>
      <c r="O136" s="25" t="n">
        <v>10.6</v>
      </c>
      <c r="P136" s="25" t="n">
        <v>7.7</v>
      </c>
      <c r="Q136" s="33">
        <f>SUM(D136:P136)</f>
        <v/>
      </c>
    </row>
    <row r="137">
      <c r="A137" s="5" t="inlineStr">
        <is>
          <t>P0133</t>
        </is>
      </c>
      <c r="B137" s="5" t="inlineStr">
        <is>
          <t>Packaging Item 133</t>
        </is>
      </c>
      <c r="C137" s="5" t="inlineStr">
        <is>
          <t>C</t>
        </is>
      </c>
      <c r="D137" s="25" t="n">
        <v>9.800000000000001</v>
      </c>
      <c r="E137" s="25" t="n">
        <v>8.9</v>
      </c>
      <c r="F137" s="25" t="n">
        <v>10.2</v>
      </c>
      <c r="G137" s="25" t="n">
        <v>11.2</v>
      </c>
      <c r="H137" s="25" t="n">
        <v>11.4</v>
      </c>
      <c r="I137" s="25" t="n">
        <v>10.2</v>
      </c>
      <c r="J137" s="25" t="n">
        <v>9.800000000000001</v>
      </c>
      <c r="K137" s="25" t="n">
        <v>11.2</v>
      </c>
      <c r="L137" s="25" t="n">
        <v>8.9</v>
      </c>
      <c r="M137" s="25" t="n">
        <v>9.300000000000001</v>
      </c>
      <c r="N137" s="25" t="n">
        <v>12.5</v>
      </c>
      <c r="O137" s="25" t="n">
        <v>10.2</v>
      </c>
      <c r="P137" s="25" t="n">
        <v>11.7</v>
      </c>
      <c r="Q137" s="33">
        <f>SUM(D137:P137)</f>
        <v/>
      </c>
    </row>
    <row r="138">
      <c r="A138" s="5" t="inlineStr">
        <is>
          <t>P0134</t>
        </is>
      </c>
      <c r="B138" s="5" t="inlineStr">
        <is>
          <t>Packaging Item 134</t>
        </is>
      </c>
      <c r="C138" s="5" t="inlineStr">
        <is>
          <t>C</t>
        </is>
      </c>
      <c r="D138" s="25" t="n">
        <v>8.9</v>
      </c>
      <c r="E138" s="25" t="n">
        <v>8.300000000000001</v>
      </c>
      <c r="F138" s="25" t="n">
        <v>7.9</v>
      </c>
      <c r="G138" s="25" t="n">
        <v>10.3</v>
      </c>
      <c r="H138" s="25" t="n">
        <v>11.6</v>
      </c>
      <c r="I138" s="25" t="n">
        <v>11.6</v>
      </c>
      <c r="J138" s="25" t="n">
        <v>10.1</v>
      </c>
      <c r="K138" s="25" t="n">
        <v>7.4</v>
      </c>
      <c r="L138" s="25" t="n">
        <v>9.5</v>
      </c>
      <c r="M138" s="25" t="n">
        <v>12.3</v>
      </c>
      <c r="N138" s="25" t="n">
        <v>8.199999999999999</v>
      </c>
      <c r="O138" s="25" t="n">
        <v>13.7</v>
      </c>
      <c r="P138" s="25" t="n">
        <v>9.800000000000001</v>
      </c>
      <c r="Q138" s="33">
        <f>SUM(D138:P138)</f>
        <v/>
      </c>
    </row>
    <row r="139">
      <c r="A139" s="5" t="inlineStr">
        <is>
          <t>P0135</t>
        </is>
      </c>
      <c r="B139" s="5" t="inlineStr">
        <is>
          <t>Packaging Item 135</t>
        </is>
      </c>
      <c r="C139" s="5" t="inlineStr">
        <is>
          <t>C</t>
        </is>
      </c>
      <c r="D139" s="25" t="n">
        <v>1.9</v>
      </c>
      <c r="E139" s="25" t="n">
        <v>5.2</v>
      </c>
      <c r="F139" s="25" t="n">
        <v>2.7</v>
      </c>
      <c r="G139" s="25" t="n">
        <v>2.1</v>
      </c>
      <c r="H139" s="25" t="n">
        <v>5.3</v>
      </c>
      <c r="I139" s="25" t="n">
        <v>3.5</v>
      </c>
      <c r="J139" s="25" t="n">
        <v>3.5</v>
      </c>
      <c r="K139" s="25" t="n">
        <v>2.7</v>
      </c>
      <c r="L139" s="25" t="n">
        <v>3.5</v>
      </c>
      <c r="M139" s="25" t="n">
        <v>3.9</v>
      </c>
      <c r="N139" s="25" t="n">
        <v>3.1</v>
      </c>
      <c r="O139" s="25" t="n">
        <v>3.3</v>
      </c>
      <c r="P139" s="25" t="n">
        <v>4.7</v>
      </c>
      <c r="Q139" s="33">
        <f>SUM(D139:P139)</f>
        <v/>
      </c>
    </row>
    <row r="140">
      <c r="A140" s="5" t="inlineStr">
        <is>
          <t>P0136</t>
        </is>
      </c>
      <c r="B140" s="5" t="inlineStr">
        <is>
          <t>Packaging Item 136</t>
        </is>
      </c>
      <c r="C140" s="5" t="inlineStr">
        <is>
          <t>C</t>
        </is>
      </c>
      <c r="D140" s="25" t="n">
        <v>21.8</v>
      </c>
      <c r="E140" s="25" t="n">
        <v>21.8</v>
      </c>
      <c r="F140" s="25" t="n">
        <v>26.4</v>
      </c>
      <c r="G140" s="25" t="n">
        <v>22.5</v>
      </c>
      <c r="H140" s="25" t="n">
        <v>27.3</v>
      </c>
      <c r="I140" s="25" t="n">
        <v>20.1</v>
      </c>
      <c r="J140" s="25" t="n">
        <v>27.2</v>
      </c>
      <c r="K140" s="25" t="n">
        <v>20.1</v>
      </c>
      <c r="L140" s="25" t="n">
        <v>21.7</v>
      </c>
      <c r="M140" s="25" t="n">
        <v>21.7</v>
      </c>
      <c r="N140" s="25" t="n">
        <v>36.3</v>
      </c>
      <c r="O140" s="25" t="n">
        <v>23</v>
      </c>
      <c r="P140" s="25" t="n">
        <v>19.7</v>
      </c>
      <c r="Q140" s="33">
        <f>SUM(D140:P140)</f>
        <v/>
      </c>
    </row>
    <row r="141">
      <c r="A141" s="5" t="inlineStr">
        <is>
          <t>P0137</t>
        </is>
      </c>
      <c r="B141" s="5" t="inlineStr">
        <is>
          <t>Packaging Item 137</t>
        </is>
      </c>
      <c r="C141" s="5" t="inlineStr">
        <is>
          <t>C</t>
        </is>
      </c>
      <c r="D141" s="25" t="n">
        <v>4.6</v>
      </c>
      <c r="E141" s="25" t="n">
        <v>3.9</v>
      </c>
      <c r="F141" s="25" t="n">
        <v>3.3</v>
      </c>
      <c r="G141" s="25" t="n">
        <v>3.5</v>
      </c>
      <c r="H141" s="25" t="n">
        <v>3.1</v>
      </c>
      <c r="I141" s="25" t="n">
        <v>3.4</v>
      </c>
      <c r="J141" s="25" t="n">
        <v>3.7</v>
      </c>
      <c r="K141" s="25" t="n">
        <v>3.8</v>
      </c>
      <c r="L141" s="25" t="n">
        <v>3.3</v>
      </c>
      <c r="M141" s="25" t="n">
        <v>3.3</v>
      </c>
      <c r="N141" s="25" t="n">
        <v>3</v>
      </c>
      <c r="O141" s="25" t="n">
        <v>3.6</v>
      </c>
      <c r="P141" s="25" t="n">
        <v>4</v>
      </c>
      <c r="Q141" s="33">
        <f>SUM(D141:P141)</f>
        <v/>
      </c>
    </row>
    <row r="142">
      <c r="A142" s="5" t="inlineStr">
        <is>
          <t>P0138</t>
        </is>
      </c>
      <c r="B142" s="5" t="inlineStr">
        <is>
          <t>Packaging Item 138</t>
        </is>
      </c>
      <c r="C142" s="5" t="inlineStr">
        <is>
          <t>C</t>
        </is>
      </c>
      <c r="D142" s="25" t="n">
        <v>2.5</v>
      </c>
      <c r="E142" s="25" t="n">
        <v>2.5</v>
      </c>
      <c r="F142" s="25" t="n">
        <v>3</v>
      </c>
      <c r="G142" s="25" t="n">
        <v>4.6</v>
      </c>
      <c r="H142" s="25" t="n">
        <v>2</v>
      </c>
      <c r="I142" s="25" t="n">
        <v>2.5</v>
      </c>
      <c r="J142" s="25" t="n">
        <v>2.1</v>
      </c>
      <c r="K142" s="25" t="n">
        <v>2</v>
      </c>
      <c r="L142" s="25" t="n">
        <v>2</v>
      </c>
      <c r="M142" s="25" t="n">
        <v>4.3</v>
      </c>
      <c r="N142" s="25" t="n">
        <v>2.3</v>
      </c>
      <c r="O142" s="25" t="n">
        <v>4.3</v>
      </c>
      <c r="P142" s="25" t="n">
        <v>3.3</v>
      </c>
      <c r="Q142" s="33">
        <f>SUM(D142:P142)</f>
        <v/>
      </c>
    </row>
    <row r="143">
      <c r="A143" s="5" t="inlineStr">
        <is>
          <t>P0139</t>
        </is>
      </c>
      <c r="B143" s="5" t="inlineStr">
        <is>
          <t>Packaging Item 139</t>
        </is>
      </c>
      <c r="C143" s="5" t="inlineStr">
        <is>
          <t>C</t>
        </is>
      </c>
      <c r="D143" s="25" t="n">
        <v>3.4</v>
      </c>
      <c r="E143" s="25" t="n">
        <v>3.4</v>
      </c>
      <c r="F143" s="25" t="n">
        <v>3.4</v>
      </c>
      <c r="G143" s="25" t="n">
        <v>4.1</v>
      </c>
      <c r="H143" s="25" t="n">
        <v>3.4</v>
      </c>
      <c r="I143" s="25" t="n">
        <v>3.1</v>
      </c>
      <c r="J143" s="25" t="n">
        <v>3.4</v>
      </c>
      <c r="K143" s="25" t="n">
        <v>4.8</v>
      </c>
      <c r="L143" s="25" t="n">
        <v>2.5</v>
      </c>
      <c r="M143" s="25" t="n">
        <v>4.5</v>
      </c>
      <c r="N143" s="25" t="n">
        <v>5.9</v>
      </c>
      <c r="O143" s="25" t="n">
        <v>6.4</v>
      </c>
      <c r="P143" s="25" t="n">
        <v>2.4</v>
      </c>
      <c r="Q143" s="33">
        <f>SUM(D143:P143)</f>
        <v/>
      </c>
    </row>
    <row r="144">
      <c r="A144" s="5" t="inlineStr">
        <is>
          <t>P0140</t>
        </is>
      </c>
      <c r="B144" s="5" t="inlineStr">
        <is>
          <t>Packaging Item 140</t>
        </is>
      </c>
      <c r="C144" s="5" t="inlineStr">
        <is>
          <t>B</t>
        </is>
      </c>
      <c r="D144" s="25" t="n">
        <v>78.2</v>
      </c>
      <c r="E144" s="25" t="n">
        <v>83.2</v>
      </c>
      <c r="F144" s="25" t="n">
        <v>88.2</v>
      </c>
      <c r="G144" s="25" t="n">
        <v>84.8</v>
      </c>
      <c r="H144" s="25" t="n">
        <v>78.3</v>
      </c>
      <c r="I144" s="25" t="n">
        <v>78.40000000000001</v>
      </c>
      <c r="J144" s="25" t="n">
        <v>83.2</v>
      </c>
      <c r="K144" s="25" t="n">
        <v>102.3</v>
      </c>
      <c r="L144" s="25" t="n">
        <v>80.90000000000001</v>
      </c>
      <c r="M144" s="25" t="n">
        <v>85.09999999999999</v>
      </c>
      <c r="N144" s="25" t="n">
        <v>98.90000000000001</v>
      </c>
      <c r="O144" s="25" t="n">
        <v>84.3</v>
      </c>
      <c r="P144" s="25" t="n">
        <v>87.8</v>
      </c>
      <c r="Q144" s="33">
        <f>SUM(D144:P144)</f>
        <v/>
      </c>
    </row>
    <row r="145">
      <c r="A145" s="5" t="inlineStr">
        <is>
          <t>P0141</t>
        </is>
      </c>
      <c r="B145" s="5" t="inlineStr">
        <is>
          <t>Packaging Item 141</t>
        </is>
      </c>
      <c r="C145" s="5" t="inlineStr">
        <is>
          <t>A</t>
        </is>
      </c>
      <c r="D145" s="25" t="n">
        <v>145.1</v>
      </c>
      <c r="E145" s="25" t="n">
        <v>145.4</v>
      </c>
      <c r="F145" s="25" t="n">
        <v>144.6</v>
      </c>
      <c r="G145" s="25" t="n">
        <v>138.3</v>
      </c>
      <c r="H145" s="25" t="n">
        <v>140.2</v>
      </c>
      <c r="I145" s="25" t="n">
        <v>135.3</v>
      </c>
      <c r="J145" s="25" t="n">
        <v>146.8</v>
      </c>
      <c r="K145" s="25" t="n">
        <v>132.5</v>
      </c>
      <c r="L145" s="25" t="n">
        <v>140.2</v>
      </c>
      <c r="M145" s="25" t="n">
        <v>141.5</v>
      </c>
      <c r="N145" s="25" t="n">
        <v>149.1</v>
      </c>
      <c r="O145" s="25" t="n">
        <v>133.1</v>
      </c>
      <c r="P145" s="25" t="n">
        <v>152.9</v>
      </c>
      <c r="Q145" s="33">
        <f>SUM(D145:P145)</f>
        <v/>
      </c>
    </row>
    <row r="146">
      <c r="A146" s="5" t="inlineStr">
        <is>
          <t>P0142</t>
        </is>
      </c>
      <c r="B146" s="5" t="inlineStr">
        <is>
          <t>Packaging Item 142</t>
        </is>
      </c>
      <c r="C146" s="5" t="inlineStr">
        <is>
          <t>C</t>
        </is>
      </c>
      <c r="D146" s="25" t="n">
        <v>32.8</v>
      </c>
      <c r="E146" s="25" t="n">
        <v>28.7</v>
      </c>
      <c r="F146" s="25" t="n">
        <v>30.5</v>
      </c>
      <c r="G146" s="25" t="n">
        <v>24.2</v>
      </c>
      <c r="H146" s="25" t="n">
        <v>26</v>
      </c>
      <c r="I146" s="25" t="n">
        <v>31.9</v>
      </c>
      <c r="J146" s="25" t="n">
        <v>32.8</v>
      </c>
      <c r="K146" s="25" t="n">
        <v>33.8</v>
      </c>
      <c r="L146" s="25" t="n">
        <v>40.2</v>
      </c>
      <c r="M146" s="25" t="n">
        <v>31</v>
      </c>
      <c r="N146" s="25" t="n">
        <v>30.2</v>
      </c>
      <c r="O146" s="25" t="n">
        <v>31.1</v>
      </c>
      <c r="P146" s="25" t="n">
        <v>28.8</v>
      </c>
      <c r="Q146" s="33">
        <f>SUM(D146:P146)</f>
        <v/>
      </c>
    </row>
    <row r="147">
      <c r="A147" s="5" t="inlineStr">
        <is>
          <t>P0143</t>
        </is>
      </c>
      <c r="B147" s="5" t="inlineStr">
        <is>
          <t>Packaging Item 143</t>
        </is>
      </c>
      <c r="C147" s="5" t="inlineStr">
        <is>
          <t>C</t>
        </is>
      </c>
      <c r="D147" s="25" t="n">
        <v>4.5</v>
      </c>
      <c r="E147" s="25" t="n">
        <v>5.8</v>
      </c>
      <c r="F147" s="25" t="n">
        <v>5.6</v>
      </c>
      <c r="G147" s="25" t="n">
        <v>4.1</v>
      </c>
      <c r="H147" s="25" t="n">
        <v>5.6</v>
      </c>
      <c r="I147" s="25" t="n">
        <v>4.1</v>
      </c>
      <c r="J147" s="25" t="n">
        <v>4.1</v>
      </c>
      <c r="K147" s="25" t="n">
        <v>4.1</v>
      </c>
      <c r="L147" s="25" t="n">
        <v>5.6</v>
      </c>
      <c r="M147" s="25" t="n">
        <v>4.4</v>
      </c>
      <c r="N147" s="25" t="n">
        <v>7.3</v>
      </c>
      <c r="O147" s="25" t="n">
        <v>7.3</v>
      </c>
      <c r="P147" s="25" t="n">
        <v>2.9</v>
      </c>
      <c r="Q147" s="33">
        <f>SUM(D147:P147)</f>
        <v/>
      </c>
    </row>
    <row r="148">
      <c r="A148" s="5" t="inlineStr">
        <is>
          <t>P0144</t>
        </is>
      </c>
      <c r="B148" s="5" t="inlineStr">
        <is>
          <t>Packaging Item 144</t>
        </is>
      </c>
      <c r="C148" s="5" t="inlineStr">
        <is>
          <t>A</t>
        </is>
      </c>
      <c r="D148" s="25" t="n">
        <v>280.2</v>
      </c>
      <c r="E148" s="25" t="n">
        <v>287.3</v>
      </c>
      <c r="F148" s="25" t="n">
        <v>296.2</v>
      </c>
      <c r="G148" s="25" t="n">
        <v>309.8</v>
      </c>
      <c r="H148" s="25" t="n">
        <v>288.4</v>
      </c>
      <c r="I148" s="25" t="n">
        <v>322.7</v>
      </c>
      <c r="J148" s="25" t="n">
        <v>306</v>
      </c>
      <c r="K148" s="25" t="n">
        <v>307.6</v>
      </c>
      <c r="L148" s="25" t="n">
        <v>322.8</v>
      </c>
      <c r="M148" s="25" t="n">
        <v>321.3</v>
      </c>
      <c r="N148" s="25" t="n">
        <v>295.2</v>
      </c>
      <c r="O148" s="25" t="n">
        <v>305.5</v>
      </c>
      <c r="P148" s="25" t="n">
        <v>316.5</v>
      </c>
      <c r="Q148" s="33">
        <f>SUM(D148:P148)</f>
        <v/>
      </c>
    </row>
    <row r="149">
      <c r="A149" s="5" t="inlineStr">
        <is>
          <t>P0145</t>
        </is>
      </c>
      <c r="B149" s="5" t="inlineStr">
        <is>
          <t>Packaging Item 145</t>
        </is>
      </c>
      <c r="C149" s="5" t="inlineStr">
        <is>
          <t>C</t>
        </is>
      </c>
      <c r="D149" s="25" t="n">
        <v>12.1</v>
      </c>
      <c r="E149" s="25" t="n">
        <v>14.3</v>
      </c>
      <c r="F149" s="25" t="n">
        <v>15.7</v>
      </c>
      <c r="G149" s="25" t="n">
        <v>12.1</v>
      </c>
      <c r="H149" s="25" t="n">
        <v>13</v>
      </c>
      <c r="I149" s="25" t="n">
        <v>11.8</v>
      </c>
      <c r="J149" s="25" t="n">
        <v>15.7</v>
      </c>
      <c r="K149" s="25" t="n">
        <v>12.9</v>
      </c>
      <c r="L149" s="25" t="n">
        <v>11.7</v>
      </c>
      <c r="M149" s="25" t="n">
        <v>15.7</v>
      </c>
      <c r="N149" s="25" t="n">
        <v>16.1</v>
      </c>
      <c r="O149" s="25" t="n">
        <v>15.5</v>
      </c>
      <c r="P149" s="25" t="n">
        <v>15.5</v>
      </c>
      <c r="Q149" s="33">
        <f>SUM(D149:P149)</f>
        <v/>
      </c>
    </row>
    <row r="150">
      <c r="A150" s="5" t="inlineStr">
        <is>
          <t>P0146</t>
        </is>
      </c>
      <c r="B150" s="5" t="inlineStr">
        <is>
          <t>Packaging Item 146</t>
        </is>
      </c>
      <c r="C150" s="5" t="inlineStr">
        <is>
          <t>C</t>
        </is>
      </c>
      <c r="D150" s="25" t="n">
        <v>1.9</v>
      </c>
      <c r="E150" s="25" t="n">
        <v>0.7</v>
      </c>
      <c r="F150" s="25" t="n">
        <v>0.9</v>
      </c>
      <c r="G150" s="25" t="n">
        <v>0.8</v>
      </c>
      <c r="H150" s="25" t="n">
        <v>1.3</v>
      </c>
      <c r="I150" s="25" t="n">
        <v>0.7</v>
      </c>
      <c r="J150" s="25" t="n">
        <v>0.7</v>
      </c>
      <c r="K150" s="25" t="n">
        <v>2</v>
      </c>
      <c r="L150" s="25" t="n">
        <v>0.8</v>
      </c>
      <c r="M150" s="25" t="n">
        <v>1.2</v>
      </c>
      <c r="N150" s="25" t="n">
        <v>0.8</v>
      </c>
      <c r="O150" s="25" t="n">
        <v>0.8</v>
      </c>
      <c r="P150" s="25" t="n">
        <v>1.3</v>
      </c>
      <c r="Q150" s="33">
        <f>SUM(D150:P150)</f>
        <v/>
      </c>
    </row>
    <row r="151">
      <c r="A151" s="5" t="inlineStr">
        <is>
          <t>P0147</t>
        </is>
      </c>
      <c r="B151" s="5" t="inlineStr">
        <is>
          <t>Packaging Item 147</t>
        </is>
      </c>
      <c r="C151" s="5" t="inlineStr">
        <is>
          <t>C</t>
        </is>
      </c>
      <c r="D151" s="25" t="n">
        <v>6.6</v>
      </c>
      <c r="E151" s="25" t="n">
        <v>5.9</v>
      </c>
      <c r="F151" s="25" t="n">
        <v>6.9</v>
      </c>
      <c r="G151" s="25" t="n">
        <v>10</v>
      </c>
      <c r="H151" s="25" t="n">
        <v>12.4</v>
      </c>
      <c r="I151" s="25" t="n">
        <v>8.5</v>
      </c>
      <c r="J151" s="25" t="n">
        <v>4.8</v>
      </c>
      <c r="K151" s="25" t="n">
        <v>8.5</v>
      </c>
      <c r="L151" s="25" t="n">
        <v>5.9</v>
      </c>
      <c r="M151" s="25" t="n">
        <v>7.1</v>
      </c>
      <c r="N151" s="25" t="n">
        <v>7.4</v>
      </c>
      <c r="O151" s="25" t="n">
        <v>9</v>
      </c>
      <c r="P151" s="25" t="n">
        <v>11</v>
      </c>
      <c r="Q151" s="33">
        <f>SUM(D151:P151)</f>
        <v/>
      </c>
    </row>
    <row r="152">
      <c r="A152" s="5" t="inlineStr">
        <is>
          <t>P0148</t>
        </is>
      </c>
      <c r="B152" s="5" t="inlineStr">
        <is>
          <t>Packaging Item 148</t>
        </is>
      </c>
      <c r="C152" s="5" t="inlineStr">
        <is>
          <t>B</t>
        </is>
      </c>
      <c r="D152" s="25" t="n">
        <v>13.9</v>
      </c>
      <c r="E152" s="25" t="n">
        <v>12.9</v>
      </c>
      <c r="F152" s="25" t="n">
        <v>11.7</v>
      </c>
      <c r="G152" s="25" t="n">
        <v>11</v>
      </c>
      <c r="H152" s="25" t="n">
        <v>11.4</v>
      </c>
      <c r="I152" s="25" t="n">
        <v>9.800000000000001</v>
      </c>
      <c r="J152" s="25" t="n">
        <v>10.8</v>
      </c>
      <c r="K152" s="25" t="n">
        <v>10</v>
      </c>
      <c r="L152" s="25" t="n">
        <v>9.800000000000001</v>
      </c>
      <c r="M152" s="25" t="n">
        <v>10.3</v>
      </c>
      <c r="N152" s="25" t="n">
        <v>11.4</v>
      </c>
      <c r="O152" s="25" t="n">
        <v>10</v>
      </c>
      <c r="P152" s="25" t="n">
        <v>9.1</v>
      </c>
      <c r="Q152" s="33">
        <f>SUM(D152:P152)</f>
        <v/>
      </c>
    </row>
    <row r="153">
      <c r="A153" s="5" t="inlineStr">
        <is>
          <t>P0149</t>
        </is>
      </c>
      <c r="B153" s="5" t="inlineStr">
        <is>
          <t>Packaging Item 149</t>
        </is>
      </c>
      <c r="C153" s="5" t="inlineStr">
        <is>
          <t>C</t>
        </is>
      </c>
      <c r="D153" s="25" t="n">
        <v>8.5</v>
      </c>
      <c r="E153" s="25" t="n">
        <v>8.9</v>
      </c>
      <c r="F153" s="25" t="n">
        <v>7.2</v>
      </c>
      <c r="G153" s="25" t="n">
        <v>8.5</v>
      </c>
      <c r="H153" s="25" t="n">
        <v>10</v>
      </c>
      <c r="I153" s="25" t="n">
        <v>10.5</v>
      </c>
      <c r="J153" s="25" t="n">
        <v>7.7</v>
      </c>
      <c r="K153" s="25" t="n">
        <v>7.7</v>
      </c>
      <c r="L153" s="25" t="n">
        <v>10.5</v>
      </c>
      <c r="M153" s="25" t="n">
        <v>8.4</v>
      </c>
      <c r="N153" s="25" t="n">
        <v>12.6</v>
      </c>
      <c r="O153" s="25" t="n">
        <v>11</v>
      </c>
      <c r="P153" s="25" t="n">
        <v>9.199999999999999</v>
      </c>
      <c r="Q153" s="33">
        <f>SUM(D153:P153)</f>
        <v/>
      </c>
    </row>
    <row r="154">
      <c r="A154" s="5" t="inlineStr">
        <is>
          <t>P0150</t>
        </is>
      </c>
      <c r="B154" s="5" t="inlineStr">
        <is>
          <t>Packaging Item 150</t>
        </is>
      </c>
      <c r="C154" s="5" t="inlineStr">
        <is>
          <t>C</t>
        </is>
      </c>
      <c r="D154" s="25" t="n">
        <v>68.90000000000001</v>
      </c>
      <c r="E154" s="25" t="n">
        <v>68.90000000000001</v>
      </c>
      <c r="F154" s="25" t="n">
        <v>72.40000000000001</v>
      </c>
      <c r="G154" s="25" t="n">
        <v>71.09999999999999</v>
      </c>
      <c r="H154" s="25" t="n">
        <v>64.09999999999999</v>
      </c>
      <c r="I154" s="25" t="n">
        <v>69</v>
      </c>
      <c r="J154" s="25" t="n">
        <v>70.59999999999999</v>
      </c>
      <c r="K154" s="25" t="n">
        <v>73</v>
      </c>
      <c r="L154" s="25" t="n">
        <v>70.3</v>
      </c>
      <c r="M154" s="25" t="n">
        <v>67.59999999999999</v>
      </c>
      <c r="N154" s="25" t="n">
        <v>66.09999999999999</v>
      </c>
      <c r="O154" s="25" t="n">
        <v>62.3</v>
      </c>
      <c r="P154" s="25" t="n">
        <v>67.5</v>
      </c>
      <c r="Q154" s="33">
        <f>SUM(D154:P154)</f>
        <v/>
      </c>
    </row>
    <row r="155">
      <c r="A155" s="20" t="inlineStr">
        <is>
          <t>Total</t>
        </is>
      </c>
      <c r="D155" s="33">
        <f>SUM(D5:D154)</f>
        <v/>
      </c>
      <c r="E155" s="33">
        <f>SUM(E5:E154)</f>
        <v/>
      </c>
      <c r="F155" s="33">
        <f>SUM(F5:F154)</f>
        <v/>
      </c>
      <c r="G155" s="33">
        <f>SUM(G5:G154)</f>
        <v/>
      </c>
      <c r="H155" s="33">
        <f>SUM(H5:H154)</f>
        <v/>
      </c>
      <c r="I155" s="33">
        <f>SUM(I5:I154)</f>
        <v/>
      </c>
      <c r="J155" s="33">
        <f>SUM(J5:J154)</f>
        <v/>
      </c>
      <c r="K155" s="33">
        <f>SUM(K5:K154)</f>
        <v/>
      </c>
      <c r="L155" s="33">
        <f>SUM(L5:L154)</f>
        <v/>
      </c>
      <c r="M155" s="33">
        <f>SUM(M5:M154)</f>
        <v/>
      </c>
      <c r="N155" s="33">
        <f>SUM(N5:N154)</f>
        <v/>
      </c>
      <c r="O155" s="33">
        <f>SUM(O5:O154)</f>
        <v/>
      </c>
      <c r="P155" s="33">
        <f>SUM(P5:P154)</f>
        <v/>
      </c>
      <c r="Q155" s="33">
        <f>SUM(Q5:Q154)</f>
        <v/>
      </c>
    </row>
    <row r="157">
      <c r="A157" s="20" t="inlineStr">
        <is>
          <t>Backtest accuracy (Q4 2025 holdout, lower WAPE is better)</t>
        </is>
      </c>
    </row>
    <row r="158">
      <c r="A158" s="30" t="inlineStr">
        <is>
          <t>Model</t>
        </is>
      </c>
      <c r="B158" s="30" t="inlineStr">
        <is>
          <t>WAPE all</t>
        </is>
      </c>
      <c r="C158" s="30" t="inlineStr">
        <is>
          <t>Bias</t>
        </is>
      </c>
      <c r="D158" s="30" t="inlineStr">
        <is>
          <t>WAPE A</t>
        </is>
      </c>
      <c r="E158" s="30" t="inlineStr">
        <is>
          <t>WAPE B</t>
        </is>
      </c>
      <c r="F158" s="30" t="inlineStr">
        <is>
          <t>WAPE C</t>
        </is>
      </c>
    </row>
    <row r="159">
      <c r="A159" s="16" t="inlineStr">
        <is>
          <t>Naive (8-wk avg)</t>
        </is>
      </c>
      <c r="B159" s="21" t="n">
        <v>0.3181913877147808</v>
      </c>
      <c r="C159" s="21" t="n">
        <v>-0.07182707412265781</v>
      </c>
      <c r="D159" s="21" t="n">
        <v>0.2709341064163757</v>
      </c>
      <c r="E159" s="21" t="n">
        <v>0.361594420278986</v>
      </c>
      <c r="F159" s="21" t="n">
        <v>0.3758427499762605</v>
      </c>
    </row>
    <row r="160">
      <c r="A160" s="16" t="inlineStr">
        <is>
          <t>Seasonal naive</t>
        </is>
      </c>
      <c r="B160" s="21" t="n">
        <v>0.1950219898544318</v>
      </c>
      <c r="C160" s="21" t="n">
        <v>0.035622298695059</v>
      </c>
      <c r="D160" s="21" t="n">
        <v>0.1531268779267323</v>
      </c>
      <c r="E160" s="21" t="n">
        <v>0.1850076241415116</v>
      </c>
      <c r="F160" s="21" t="n">
        <v>0.3382312802989396</v>
      </c>
    </row>
    <row r="161">
      <c r="A161" s="16" t="inlineStr">
        <is>
          <t>Gradient boosting</t>
        </is>
      </c>
      <c r="B161" s="21" t="n">
        <v>0.2553561502184962</v>
      </c>
      <c r="C161" s="21" t="n">
        <v>-0.0412286776571024</v>
      </c>
      <c r="D161" s="21" t="n">
        <v>0.1908418124017575</v>
      </c>
      <c r="E161" s="21" t="n">
        <v>0.2864550206156831</v>
      </c>
      <c r="F161" s="21" t="n">
        <v>0.3875312121129978</v>
      </c>
    </row>
    <row r="162">
      <c r="A162" s="16" t="inlineStr">
        <is>
          <t>Ensemble (SN + GBM)</t>
        </is>
      </c>
      <c r="B162" s="21" t="n">
        <v>0.1868813424758643</v>
      </c>
      <c r="C162" s="21" t="n">
        <v>-0.0028031894810218</v>
      </c>
      <c r="D162" s="21" t="n">
        <v>0.1386716229285468</v>
      </c>
      <c r="E162" s="21" t="n">
        <v>0.1997608232244366</v>
      </c>
      <c r="F162" s="21" t="n">
        <v>0.3053278642360408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2" customWidth="1" min="5" max="5"/>
  </cols>
  <sheetData>
    <row r="1">
      <c r="A1" s="1" t="inlineStr">
        <is>
          <t>2025 Back-test: Current vs Optimized Policy</t>
        </is>
      </c>
    </row>
    <row r="2">
      <c r="A2" s="2" t="inlineStr">
        <is>
          <t>Optimized policy simulated on actual 2025 demand with replayed supplier lead times. Parameters refreshed monthly, no look-ahead.</t>
        </is>
      </c>
    </row>
    <row r="4" ht="32" customHeight="1">
      <c r="A4" s="15" t="inlineStr">
        <is>
          <t>Metric</t>
        </is>
      </c>
      <c r="B4" s="15" t="inlineStr">
        <is>
          <t>Current policy</t>
        </is>
      </c>
      <c r="C4" s="15" t="inlineStr">
        <is>
          <t>Optimized policy</t>
        </is>
      </c>
      <c r="D4" s="15" t="inlineStr">
        <is>
          <t>Change</t>
        </is>
      </c>
      <c r="E4" s="15" t="inlineStr">
        <is>
          <t>Change %</t>
        </is>
      </c>
    </row>
    <row r="5">
      <c r="A5" s="5" t="inlineStr">
        <is>
          <t>Stockout rate (% of SKU-days)</t>
        </is>
      </c>
      <c r="B5" s="8" t="n">
        <v>0.0626</v>
      </c>
      <c r="C5" s="8" t="n">
        <v>0.0075</v>
      </c>
      <c r="D5" s="26">
        <f>C5-B5</f>
        <v/>
      </c>
      <c r="E5" s="34">
        <f>IF(B5=0,0,D5/B5)</f>
        <v/>
      </c>
    </row>
    <row r="6">
      <c r="A6" s="5" t="inlineStr">
        <is>
          <t>Fill rate (% of demand met)</t>
        </is>
      </c>
      <c r="B6" s="8" t="n">
        <v>0.9284</v>
      </c>
      <c r="C6" s="8" t="n">
        <v>0.9905</v>
      </c>
      <c r="D6" s="26">
        <f>C6-B6</f>
        <v/>
      </c>
      <c r="E6" s="34">
        <f>IF(B6=0,0,D6/B6)</f>
        <v/>
      </c>
    </row>
    <row r="7">
      <c r="A7" s="5" t="inlineStr">
        <is>
          <t>Lost units</t>
        </is>
      </c>
      <c r="B7" s="25" t="n">
        <v>27372</v>
      </c>
      <c r="C7" s="25" t="n">
        <v>2227</v>
      </c>
      <c r="D7" s="28">
        <f>C7-B7</f>
        <v/>
      </c>
      <c r="E7" s="34">
        <f>IF(B7=0,0,D7/B7)</f>
        <v/>
      </c>
    </row>
    <row r="8">
      <c r="A8" s="5" t="inlineStr">
        <is>
          <t>Est. lost revenue ($)</t>
        </is>
      </c>
      <c r="B8" s="6" t="n">
        <v>1309737.44</v>
      </c>
      <c r="C8" s="6" t="n">
        <v>90355.81</v>
      </c>
      <c r="D8" s="29">
        <f>C8-B8</f>
        <v/>
      </c>
      <c r="E8" s="34">
        <f>IF(B8=0,0,D8/B8)</f>
        <v/>
      </c>
    </row>
    <row r="9">
      <c r="A9" s="5" t="inlineStr">
        <is>
          <t>Est. lost gross profit ($)</t>
        </is>
      </c>
      <c r="B9" s="6" t="n">
        <v>551936.15</v>
      </c>
      <c r="C9" s="6" t="n">
        <v>34682.69</v>
      </c>
      <c r="D9" s="29">
        <f>C9-B9</f>
        <v/>
      </c>
      <c r="E9" s="34">
        <f>IF(B9=0,0,D9/B9)</f>
        <v/>
      </c>
    </row>
    <row r="10">
      <c r="A10" s="5" t="inlineStr">
        <is>
          <t>Avg inventory value ($)</t>
        </is>
      </c>
      <c r="B10" s="6" t="n">
        <v>538087.6032</v>
      </c>
      <c r="C10" s="6" t="n">
        <v>512248.1845</v>
      </c>
      <c r="D10" s="29">
        <f>C10-B10</f>
        <v/>
      </c>
      <c r="E10" s="34">
        <f>IF(B10=0,0,D10/B10)</f>
        <v/>
      </c>
    </row>
    <row r="11">
      <c r="A11" s="5" t="inlineStr">
        <is>
          <t>Annual carrying cost @25% ($)</t>
        </is>
      </c>
      <c r="B11" s="6" t="n">
        <v>134521.9008</v>
      </c>
      <c r="C11" s="6" t="n">
        <v>128062.0461</v>
      </c>
      <c r="D11" s="29">
        <f>C11-B11</f>
        <v/>
      </c>
      <c r="E11" s="34">
        <f>IF(B11=0,0,D11/B11)</f>
        <v/>
      </c>
    </row>
    <row r="12">
      <c r="A12" s="5" t="inlineStr">
        <is>
          <t>Purchase orders placed</t>
        </is>
      </c>
      <c r="B12" s="25" t="n">
        <v>1070</v>
      </c>
      <c r="C12" s="25" t="n">
        <v>894</v>
      </c>
      <c r="D12" s="28">
        <f>C12-B12</f>
        <v/>
      </c>
      <c r="E12" s="34">
        <f>IF(B12=0,0,D12/B12)</f>
        <v/>
      </c>
    </row>
    <row r="13">
      <c r="A13" s="5" t="inlineStr">
        <is>
          <t>Ordering cost @$75/PO ($)</t>
        </is>
      </c>
      <c r="B13" s="6" t="n">
        <v>80250</v>
      </c>
      <c r="C13" s="6" t="n">
        <v>67050</v>
      </c>
      <c r="D13" s="29">
        <f>C13-B13</f>
        <v/>
      </c>
      <c r="E13" s="34">
        <f>IF(B13=0,0,D13/B13)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14" customWidth="1" min="3" max="3"/>
    <col width="36" customWidth="1" min="4" max="4"/>
  </cols>
  <sheetData>
    <row r="1">
      <c r="A1" s="1" t="inlineStr">
        <is>
          <t>Data Cleaning Log</t>
        </is>
      </c>
    </row>
    <row r="2">
      <c r="A2" s="2" t="inlineStr">
        <is>
          <t>Every correction applied by src/02_clean_data.py.</t>
        </is>
      </c>
    </row>
    <row r="4" ht="32" customHeight="1">
      <c r="A4" s="15" t="inlineStr">
        <is>
          <t>Table</t>
        </is>
      </c>
      <c r="B4" s="15" t="inlineStr">
        <is>
          <t>Issue</t>
        </is>
      </c>
      <c r="C4" s="15" t="inlineStr">
        <is>
          <t>Rows affected</t>
        </is>
      </c>
      <c r="D4" s="15" t="inlineStr">
        <is>
          <t>Action</t>
        </is>
      </c>
    </row>
    <row r="5">
      <c r="A5" s="5" t="inlineStr">
        <is>
          <t>products</t>
        </is>
      </c>
      <c r="B5" s="5" t="inlineStr">
        <is>
          <t>Inconsistent category casing / trailing spaces</t>
        </is>
      </c>
      <c r="C5" s="28" t="n">
        <v>15</v>
      </c>
      <c r="D5" s="5" t="inlineStr">
        <is>
          <t>Trimmed and title-cased</t>
        </is>
      </c>
    </row>
    <row r="6">
      <c r="A6" s="5" t="inlineStr">
        <is>
          <t>sales</t>
        </is>
      </c>
      <c r="B6" s="5" t="inlineStr">
        <is>
          <t>Exact duplicate rows</t>
        </is>
      </c>
      <c r="C6" s="28" t="n">
        <v>531</v>
      </c>
      <c r="D6" s="5" t="inlineStr">
        <is>
          <t>Removed</t>
        </is>
      </c>
    </row>
    <row r="7">
      <c r="A7" s="5" t="inlineStr">
        <is>
          <t>sales</t>
        </is>
      </c>
      <c r="B7" s="5" t="inlineStr">
        <is>
          <t>Non-ISO date format (DD/MM/YYYY)</t>
        </is>
      </c>
      <c r="C7" s="28" t="n">
        <v>2665</v>
      </c>
      <c r="D7" s="5" t="inlineStr">
        <is>
          <t>Parsed to ISO date</t>
        </is>
      </c>
    </row>
    <row r="8">
      <c r="A8" s="5" t="inlineStr">
        <is>
          <t>sales</t>
        </is>
      </c>
      <c r="B8" s="5" t="inlineStr">
        <is>
          <t>Zero/negative quantity (entry errors, not tagged as returns)</t>
        </is>
      </c>
      <c r="C8" s="28" t="n">
        <v>60</v>
      </c>
      <c r="D8" s="5" t="inlineStr">
        <is>
          <t>Removed</t>
        </is>
      </c>
    </row>
    <row r="9">
      <c r="A9" s="5" t="inlineStr">
        <is>
          <t>sales</t>
        </is>
      </c>
      <c r="B9" s="5" t="inlineStr">
        <is>
          <t>Extreme quantity outliers (&gt;5x product's 99th pct)</t>
        </is>
      </c>
      <c r="C9" s="28" t="n">
        <v>8</v>
      </c>
      <c r="D9" s="5" t="inlineStr">
        <is>
          <t>Removed</t>
        </is>
      </c>
    </row>
    <row r="10">
      <c r="A10" s="5" t="inlineStr">
        <is>
          <t>sales</t>
        </is>
      </c>
      <c r="B10" s="5" t="inlineStr">
        <is>
          <t>Missing unit_price</t>
        </is>
      </c>
      <c r="C10" s="28" t="n">
        <v>400</v>
      </c>
      <c r="D10" s="5" t="inlineStr">
        <is>
          <t>Imputed with product list price</t>
        </is>
      </c>
    </row>
    <row r="11">
      <c r="A11" s="5" t="inlineStr">
        <is>
          <t>sales</t>
        </is>
      </c>
      <c r="B11" s="5" t="inlineStr">
        <is>
          <t>Rows in -&gt; rows out</t>
        </is>
      </c>
      <c r="C11" s="28" t="n">
        <v>599</v>
      </c>
      <c r="D11" s="5" t="inlineStr">
        <is>
          <t>133,295 -&gt; 132,696</t>
        </is>
      </c>
    </row>
    <row r="12">
      <c r="A12" s="5" t="inlineStr">
        <is>
          <t>purchase_orders</t>
        </is>
      </c>
      <c r="B12" s="5" t="inlineStr">
        <is>
          <t>Open POs (not yet received at period end)</t>
        </is>
      </c>
      <c r="C12" s="28" t="n">
        <v>36</v>
      </c>
      <c r="D12" s="5" t="inlineStr">
        <is>
          <t>Kept, excluded from delivery KPIs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2026-10-26T15:26:47Z</dcterms:created>
  <dcterms:modified xmlns:dcterms="http://purl.org/dc/terms/" xmlns:xsi="http://www.w3.org/2001/XMLSchema-instance" xsi:type="dcterms:W3CDTF">2026-10-26T15:26:47Z</dcterms:modified>
</cp:coreProperties>
</file>